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cf05bd9d942898/Рабочий стол/ITMO/Инфа/"/>
    </mc:Choice>
  </mc:AlternateContent>
  <xr:revisionPtr revIDLastSave="35" documentId="8_{219FC930-DD49-4B1C-A657-002350A6C69C}" xr6:coauthVersionLast="47" xr6:coauthVersionMax="47" xr10:uidLastSave="{E4E5FAA0-CAD1-4B5B-B9C0-1CDDCC5EACCC}"/>
  <bookViews>
    <workbookView xWindow="0" yWindow="3120" windowWidth="21600" windowHeight="11835" activeTab="2" xr2:uid="{F28AD061-82AC-40F0-9343-0A3A84018A0F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3" l="1"/>
  <c r="R5" i="3"/>
  <c r="C9" i="3"/>
  <c r="G9" i="3" s="1"/>
  <c r="C8" i="3"/>
  <c r="C14" i="3" s="1"/>
  <c r="G7" i="3"/>
  <c r="C7" i="3"/>
  <c r="C13" i="3" s="1"/>
  <c r="F6" i="3"/>
  <c r="C6" i="3"/>
  <c r="C12" i="3" s="1"/>
  <c r="C5" i="3"/>
  <c r="C11" i="3" s="1"/>
  <c r="H4" i="3"/>
  <c r="G4" i="3"/>
  <c r="D11" i="2"/>
  <c r="D17" i="2" s="1"/>
  <c r="D10" i="2"/>
  <c r="D12" i="2" s="1"/>
  <c r="D18" i="2" s="1"/>
  <c r="D9" i="2"/>
  <c r="D15" i="2" s="1"/>
  <c r="D8" i="2"/>
  <c r="D14" i="2" s="1"/>
  <c r="D7" i="2"/>
  <c r="D13" i="2" s="1"/>
  <c r="G19" i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F19" i="1"/>
  <c r="U5" i="1"/>
  <c r="G4" i="1"/>
  <c r="F5" i="1" s="1"/>
  <c r="C9" i="1"/>
  <c r="C15" i="1" s="1"/>
  <c r="AF32" i="1" s="1"/>
  <c r="C8" i="1"/>
  <c r="C14" i="1" s="1"/>
  <c r="C7" i="1"/>
  <c r="AF22" i="1" s="1"/>
  <c r="C6" i="1"/>
  <c r="C12" i="1" s="1"/>
  <c r="C5" i="1"/>
  <c r="C10" i="1" l="1"/>
  <c r="C16" i="1" s="1"/>
  <c r="AF30" i="1"/>
  <c r="C13" i="1"/>
  <c r="AF28" i="1" s="1"/>
  <c r="AF20" i="1"/>
  <c r="C11" i="1"/>
  <c r="D16" i="2"/>
  <c r="F8" i="3"/>
  <c r="C10" i="3"/>
  <c r="F5" i="3"/>
  <c r="C15" i="3"/>
  <c r="G5" i="3"/>
  <c r="I4" i="3"/>
  <c r="G6" i="3"/>
  <c r="F7" i="3"/>
  <c r="G8" i="3"/>
  <c r="F9" i="3"/>
  <c r="G10" i="3"/>
  <c r="H4" i="1"/>
  <c r="G5" i="1" s="1"/>
  <c r="I4" i="1"/>
  <c r="H8" i="1" s="1"/>
  <c r="F10" i="1"/>
  <c r="F6" i="1"/>
  <c r="G8" i="1"/>
  <c r="F7" i="1"/>
  <c r="F8" i="1"/>
  <c r="F9" i="1"/>
  <c r="G6" i="1"/>
  <c r="AF26" i="1" l="1"/>
  <c r="AF24" i="1"/>
  <c r="C16" i="3"/>
  <c r="F10" i="3"/>
  <c r="H9" i="3"/>
  <c r="H8" i="3"/>
  <c r="H7" i="3"/>
  <c r="H6" i="3"/>
  <c r="J4" i="3"/>
  <c r="H5" i="3"/>
  <c r="H10" i="3"/>
  <c r="H7" i="1"/>
  <c r="H9" i="1"/>
  <c r="G10" i="1"/>
  <c r="G7" i="1"/>
  <c r="G9" i="1"/>
  <c r="H5" i="1"/>
  <c r="H10" i="1"/>
  <c r="J4" i="1"/>
  <c r="H6" i="1"/>
  <c r="I9" i="1"/>
  <c r="I5" i="1"/>
  <c r="I10" i="1"/>
  <c r="I8" i="3" l="1"/>
  <c r="I7" i="3"/>
  <c r="I6" i="3"/>
  <c r="K4" i="3"/>
  <c r="I5" i="3"/>
  <c r="I9" i="3"/>
  <c r="I10" i="3"/>
  <c r="K4" i="1"/>
  <c r="L4" i="1" s="1"/>
  <c r="M4" i="1" s="1"/>
  <c r="N4" i="1" s="1"/>
  <c r="O4" i="1" s="1"/>
  <c r="P4" i="1" s="1"/>
  <c r="Q4" i="1" s="1"/>
  <c r="R4" i="1" s="1"/>
  <c r="S4" i="1" s="1"/>
  <c r="T4" i="1" s="1"/>
  <c r="U4" i="1" s="1"/>
  <c r="I8" i="1"/>
  <c r="I7" i="1"/>
  <c r="I6" i="1"/>
  <c r="J10" i="1"/>
  <c r="J7" i="3" l="1"/>
  <c r="J6" i="3"/>
  <c r="L4" i="3"/>
  <c r="J5" i="3"/>
  <c r="J8" i="3"/>
  <c r="J10" i="3"/>
  <c r="J9" i="3"/>
  <c r="J9" i="1"/>
  <c r="J5" i="1"/>
  <c r="J8" i="1"/>
  <c r="J6" i="1"/>
  <c r="J7" i="1"/>
  <c r="K5" i="1"/>
  <c r="K7" i="1"/>
  <c r="K9" i="1"/>
  <c r="K10" i="1"/>
  <c r="K6" i="1"/>
  <c r="K8" i="1"/>
  <c r="K6" i="3" l="1"/>
  <c r="M4" i="3"/>
  <c r="K5" i="3"/>
  <c r="K10" i="3"/>
  <c r="K7" i="3"/>
  <c r="K9" i="3"/>
  <c r="K8" i="3"/>
  <c r="L5" i="1"/>
  <c r="L10" i="1"/>
  <c r="L6" i="1"/>
  <c r="L7" i="1"/>
  <c r="L9" i="1"/>
  <c r="L8" i="1"/>
  <c r="L5" i="3" l="1"/>
  <c r="L10" i="3"/>
  <c r="L9" i="3"/>
  <c r="L6" i="3"/>
  <c r="N4" i="3"/>
  <c r="L8" i="3"/>
  <c r="L7" i="3"/>
  <c r="M6" i="1"/>
  <c r="M5" i="1"/>
  <c r="M7" i="1"/>
  <c r="M8" i="1"/>
  <c r="M10" i="1"/>
  <c r="M9" i="1"/>
  <c r="M10" i="3" l="1"/>
  <c r="M9" i="3"/>
  <c r="M8" i="3"/>
  <c r="M5" i="3"/>
  <c r="M7" i="3"/>
  <c r="M6" i="3"/>
  <c r="O4" i="3"/>
  <c r="N10" i="1"/>
  <c r="N8" i="1"/>
  <c r="N9" i="1"/>
  <c r="N5" i="1"/>
  <c r="N6" i="1"/>
  <c r="N7" i="1"/>
  <c r="N10" i="3" l="1"/>
  <c r="N9" i="3"/>
  <c r="N8" i="3"/>
  <c r="N7" i="3"/>
  <c r="N6" i="3"/>
  <c r="P4" i="3"/>
  <c r="N5" i="3"/>
  <c r="O6" i="1"/>
  <c r="O7" i="1"/>
  <c r="O5" i="1"/>
  <c r="O8" i="1"/>
  <c r="O9" i="1"/>
  <c r="O10" i="1"/>
  <c r="O10" i="3" l="1"/>
  <c r="O9" i="3"/>
  <c r="O8" i="3"/>
  <c r="O7" i="3"/>
  <c r="O6" i="3"/>
  <c r="Q4" i="3"/>
  <c r="O5" i="3"/>
  <c r="P5" i="1"/>
  <c r="P8" i="1"/>
  <c r="P6" i="1"/>
  <c r="P7" i="1"/>
  <c r="P9" i="1"/>
  <c r="P10" i="1"/>
  <c r="P9" i="3" l="1"/>
  <c r="P7" i="3"/>
  <c r="P6" i="3"/>
  <c r="R4" i="3"/>
  <c r="P5" i="3"/>
  <c r="P10" i="3"/>
  <c r="P8" i="3"/>
  <c r="Q9" i="1"/>
  <c r="Q10" i="1"/>
  <c r="Q5" i="1"/>
  <c r="Q7" i="1"/>
  <c r="Q8" i="1"/>
  <c r="Q6" i="1"/>
  <c r="Q8" i="3" l="1"/>
  <c r="Q7" i="3"/>
  <c r="Q6" i="3"/>
  <c r="S4" i="3"/>
  <c r="Q5" i="3"/>
  <c r="Q9" i="3"/>
  <c r="Q10" i="3"/>
  <c r="R10" i="1"/>
  <c r="R6" i="1"/>
  <c r="R5" i="1"/>
  <c r="R8" i="1"/>
  <c r="R9" i="1"/>
  <c r="R7" i="1"/>
  <c r="R7" i="3" l="1"/>
  <c r="R8" i="3"/>
  <c r="R6" i="3"/>
  <c r="T4" i="3"/>
  <c r="R10" i="3"/>
  <c r="R9" i="3"/>
  <c r="S10" i="1"/>
  <c r="S7" i="1"/>
  <c r="S9" i="1"/>
  <c r="S6" i="1"/>
  <c r="S8" i="1"/>
  <c r="S5" i="1"/>
  <c r="S6" i="3" l="1"/>
  <c r="U4" i="3"/>
  <c r="S10" i="3"/>
  <c r="S7" i="3"/>
  <c r="S5" i="3"/>
  <c r="S9" i="3"/>
  <c r="S8" i="3"/>
  <c r="U6" i="1"/>
  <c r="T6" i="1"/>
  <c r="T8" i="1"/>
  <c r="U10" i="1"/>
  <c r="U7" i="1"/>
  <c r="T7" i="1"/>
  <c r="U8" i="1"/>
  <c r="V14" i="1" s="1" a="1"/>
  <c r="V14" i="1" s="1"/>
  <c r="T9" i="1"/>
  <c r="T5" i="1"/>
  <c r="T10" i="1"/>
  <c r="U9" i="1"/>
  <c r="V15" i="1" s="1" a="1"/>
  <c r="V15" i="1" s="1"/>
  <c r="V12" i="1" l="1" a="1"/>
  <c r="V12" i="1" s="1"/>
  <c r="U20" i="1"/>
  <c r="V16" i="1" a="1"/>
  <c r="V16" i="1" s="1"/>
  <c r="G16" i="1" s="1"/>
  <c r="V11" i="1" a="1"/>
  <c r="V11" i="1" s="1"/>
  <c r="T20" i="1"/>
  <c r="S20" i="1" s="1"/>
  <c r="R20" i="1" s="1"/>
  <c r="M14" i="1"/>
  <c r="U14" i="1"/>
  <c r="G14" i="1"/>
  <c r="J14" i="1"/>
  <c r="F14" i="1"/>
  <c r="N14" i="1"/>
  <c r="R14" i="1"/>
  <c r="H14" i="1"/>
  <c r="P14" i="1"/>
  <c r="I14" i="1"/>
  <c r="Q14" i="1"/>
  <c r="K14" i="1"/>
  <c r="S14" i="1"/>
  <c r="L14" i="1"/>
  <c r="T14" i="1"/>
  <c r="O14" i="1"/>
  <c r="V13" i="1" a="1"/>
  <c r="V13" i="1" s="1"/>
  <c r="U22" i="1"/>
  <c r="T22" i="1" s="1"/>
  <c r="S22" i="1" s="1"/>
  <c r="R22" i="1" s="1"/>
  <c r="F15" i="1"/>
  <c r="N15" i="1"/>
  <c r="G15" i="1"/>
  <c r="O15" i="1"/>
  <c r="U15" i="1"/>
  <c r="H15" i="1"/>
  <c r="I15" i="1"/>
  <c r="Q15" i="1"/>
  <c r="J15" i="1"/>
  <c r="R15" i="1"/>
  <c r="K15" i="1"/>
  <c r="L15" i="1"/>
  <c r="T15" i="1"/>
  <c r="P15" i="1"/>
  <c r="M15" i="1"/>
  <c r="S15" i="1"/>
  <c r="I16" i="1"/>
  <c r="P16" i="1"/>
  <c r="U16" i="1"/>
  <c r="L16" i="1"/>
  <c r="K16" i="1"/>
  <c r="F16" i="1"/>
  <c r="N16" i="1"/>
  <c r="Q16" i="1"/>
  <c r="T5" i="3"/>
  <c r="T10" i="3"/>
  <c r="T9" i="3"/>
  <c r="T6" i="3"/>
  <c r="T8" i="3"/>
  <c r="T7" i="3"/>
  <c r="U9" i="3"/>
  <c r="V15" i="3" s="1" a="1"/>
  <c r="V15" i="3" s="1"/>
  <c r="V11" i="3" a="1"/>
  <c r="V11" i="3" s="1"/>
  <c r="U7" i="3"/>
  <c r="U6" i="3"/>
  <c r="U10" i="3"/>
  <c r="U8" i="3"/>
  <c r="M16" i="1" l="1"/>
  <c r="H16" i="1"/>
  <c r="S16" i="1"/>
  <c r="T16" i="1"/>
  <c r="O16" i="1"/>
  <c r="R16" i="1"/>
  <c r="J16" i="1"/>
  <c r="F12" i="1"/>
  <c r="N12" i="1"/>
  <c r="G12" i="1"/>
  <c r="O12" i="1"/>
  <c r="H12" i="1"/>
  <c r="P12" i="1"/>
  <c r="K12" i="1"/>
  <c r="T12" i="1"/>
  <c r="I12" i="1"/>
  <c r="Q12" i="1"/>
  <c r="R12" i="1"/>
  <c r="U12" i="1"/>
  <c r="J12" i="1"/>
  <c r="S12" i="1"/>
  <c r="L12" i="1"/>
  <c r="M12" i="1"/>
  <c r="Q20" i="1"/>
  <c r="P20" i="1" s="1"/>
  <c r="O20" i="1" s="1"/>
  <c r="N20" i="1" s="1"/>
  <c r="AA20" i="1"/>
  <c r="Q22" i="1"/>
  <c r="P22" i="1" s="1"/>
  <c r="O22" i="1" s="1"/>
  <c r="N22" i="1" s="1"/>
  <c r="AA22" i="1"/>
  <c r="L13" i="1"/>
  <c r="T13" i="1"/>
  <c r="M13" i="1"/>
  <c r="N13" i="1"/>
  <c r="I13" i="1"/>
  <c r="G13" i="1"/>
  <c r="O13" i="1"/>
  <c r="H13" i="1"/>
  <c r="P13" i="1"/>
  <c r="Q13" i="1"/>
  <c r="J13" i="1"/>
  <c r="R13" i="1"/>
  <c r="F13" i="1"/>
  <c r="K13" i="1"/>
  <c r="S13" i="1"/>
  <c r="U13" i="1"/>
  <c r="J11" i="1"/>
  <c r="R11" i="1"/>
  <c r="L11" i="1"/>
  <c r="K11" i="1"/>
  <c r="S11" i="1"/>
  <c r="T11" i="1"/>
  <c r="G11" i="1"/>
  <c r="M11" i="1"/>
  <c r="U11" i="1"/>
  <c r="F11" i="1"/>
  <c r="N11" i="1"/>
  <c r="H11" i="1"/>
  <c r="P11" i="1"/>
  <c r="I11" i="1"/>
  <c r="Q11" i="1"/>
  <c r="O11" i="1"/>
  <c r="U32" i="1"/>
  <c r="T32" i="1" s="1"/>
  <c r="S32" i="1" s="1"/>
  <c r="R32" i="1" s="1"/>
  <c r="Q32" i="1" s="1"/>
  <c r="P32" i="1" s="1"/>
  <c r="O32" i="1" s="1"/>
  <c r="N32" i="1" s="1"/>
  <c r="V16" i="3" a="1"/>
  <c r="V16" i="3" s="1"/>
  <c r="U16" i="3" s="1"/>
  <c r="V12" i="3" a="1"/>
  <c r="V12" i="3" s="1"/>
  <c r="J12" i="3" s="1"/>
  <c r="V13" i="3" a="1"/>
  <c r="V13" i="3" s="1"/>
  <c r="K13" i="3" s="1"/>
  <c r="V14" i="3" a="1"/>
  <c r="V14" i="3" s="1"/>
  <c r="G14" i="3" s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1" i="3"/>
  <c r="F16" i="3"/>
  <c r="H16" i="3"/>
  <c r="G16" i="3"/>
  <c r="I16" i="3"/>
  <c r="J16" i="3"/>
  <c r="K16" i="3"/>
  <c r="L16" i="3"/>
  <c r="M16" i="3"/>
  <c r="N16" i="3"/>
  <c r="O16" i="3"/>
  <c r="P16" i="3"/>
  <c r="Q16" i="3"/>
  <c r="R16" i="3"/>
  <c r="S16" i="3"/>
  <c r="T16" i="3"/>
  <c r="U15" i="3"/>
  <c r="U14" i="3" l="1"/>
  <c r="T14" i="3"/>
  <c r="L14" i="3"/>
  <c r="N14" i="3"/>
  <c r="M14" i="3"/>
  <c r="S14" i="3"/>
  <c r="K14" i="3"/>
  <c r="F14" i="3"/>
  <c r="Q14" i="3"/>
  <c r="I14" i="3"/>
  <c r="J14" i="3"/>
  <c r="P14" i="3"/>
  <c r="H14" i="3"/>
  <c r="R14" i="3"/>
  <c r="O14" i="3"/>
  <c r="T12" i="3"/>
  <c r="U12" i="3"/>
  <c r="L12" i="3"/>
  <c r="U30" i="1"/>
  <c r="T30" i="1"/>
  <c r="S30" i="1" s="1"/>
  <c r="R30" i="1" s="1"/>
  <c r="U28" i="1"/>
  <c r="T28" i="1" s="1"/>
  <c r="S28" i="1" s="1"/>
  <c r="R28" i="1" s="1"/>
  <c r="Q28" i="1" s="1"/>
  <c r="P28" i="1" s="1"/>
  <c r="O28" i="1" s="1"/>
  <c r="N28" i="1" s="1"/>
  <c r="M22" i="1"/>
  <c r="L22" i="1" s="1"/>
  <c r="K22" i="1" s="1"/>
  <c r="J22" i="1" s="1"/>
  <c r="I22" i="1" s="1"/>
  <c r="H22" i="1" s="1"/>
  <c r="G22" i="1" s="1"/>
  <c r="F22" i="1" s="1"/>
  <c r="Z22" i="1"/>
  <c r="AA32" i="1"/>
  <c r="M32" i="1"/>
  <c r="L32" i="1" s="1"/>
  <c r="K32" i="1" s="1"/>
  <c r="J32" i="1" s="1"/>
  <c r="I32" i="1" s="1"/>
  <c r="H32" i="1" s="1"/>
  <c r="G32" i="1" s="1"/>
  <c r="F32" i="1" s="1"/>
  <c r="Z32" i="1"/>
  <c r="T26" i="1"/>
  <c r="S26" i="1" s="1"/>
  <c r="R26" i="1" s="1"/>
  <c r="Q26" i="1" s="1"/>
  <c r="P26" i="1" s="1"/>
  <c r="O26" i="1" s="1"/>
  <c r="N26" i="1" s="1"/>
  <c r="U26" i="1"/>
  <c r="U24" i="1"/>
  <c r="T24" i="1" s="1"/>
  <c r="S24" i="1" s="1"/>
  <c r="R24" i="1" s="1"/>
  <c r="Q24" i="1" s="1"/>
  <c r="P24" i="1" s="1"/>
  <c r="O24" i="1" s="1"/>
  <c r="N24" i="1" s="1"/>
  <c r="M20" i="1"/>
  <c r="L20" i="1" s="1"/>
  <c r="K20" i="1" s="1"/>
  <c r="J20" i="1" s="1"/>
  <c r="I20" i="1" s="1"/>
  <c r="H20" i="1" s="1"/>
  <c r="G20" i="1" s="1"/>
  <c r="F20" i="1" s="1"/>
  <c r="Z20" i="1"/>
  <c r="L13" i="3"/>
  <c r="S12" i="3"/>
  <c r="K12" i="3"/>
  <c r="R13" i="3"/>
  <c r="J13" i="3"/>
  <c r="Q12" i="3"/>
  <c r="I12" i="3"/>
  <c r="G12" i="3"/>
  <c r="P13" i="3"/>
  <c r="H13" i="3"/>
  <c r="O12" i="3"/>
  <c r="H12" i="3"/>
  <c r="I13" i="3"/>
  <c r="O13" i="3"/>
  <c r="F13" i="3"/>
  <c r="N12" i="3"/>
  <c r="F12" i="3"/>
  <c r="Q13" i="3"/>
  <c r="P12" i="3"/>
  <c r="N13" i="3"/>
  <c r="G13" i="3"/>
  <c r="M12" i="3"/>
  <c r="M13" i="3"/>
  <c r="T13" i="3"/>
  <c r="U13" i="3"/>
  <c r="S13" i="3"/>
  <c r="R12" i="3"/>
  <c r="Q30" i="1" l="1"/>
  <c r="P30" i="1" s="1"/>
  <c r="O30" i="1" s="1"/>
  <c r="N30" i="1" s="1"/>
  <c r="AA30" i="1"/>
  <c r="E32" i="1"/>
  <c r="Y32" i="1" s="1"/>
  <c r="AC32" i="1"/>
  <c r="W32" i="1"/>
  <c r="AB32" i="1"/>
  <c r="AD32" i="1"/>
  <c r="E22" i="1"/>
  <c r="Y22" i="1" s="1"/>
  <c r="W22" i="1"/>
  <c r="AH22" i="1" s="1"/>
  <c r="AB22" i="1"/>
  <c r="AC22" i="1"/>
  <c r="AD22" i="1"/>
  <c r="M26" i="1"/>
  <c r="L26" i="1" s="1"/>
  <c r="K26" i="1" s="1"/>
  <c r="J26" i="1" s="1"/>
  <c r="I26" i="1" s="1"/>
  <c r="H26" i="1" s="1"/>
  <c r="G26" i="1" s="1"/>
  <c r="F26" i="1" s="1"/>
  <c r="Z26" i="1"/>
  <c r="AA28" i="1"/>
  <c r="AA26" i="1"/>
  <c r="M28" i="1"/>
  <c r="L28" i="1" s="1"/>
  <c r="K28" i="1" s="1"/>
  <c r="J28" i="1" s="1"/>
  <c r="I28" i="1" s="1"/>
  <c r="H28" i="1" s="1"/>
  <c r="G28" i="1" s="1"/>
  <c r="F28" i="1" s="1"/>
  <c r="Z28" i="1"/>
  <c r="M24" i="1"/>
  <c r="L24" i="1" s="1"/>
  <c r="K24" i="1" s="1"/>
  <c r="J24" i="1" s="1"/>
  <c r="I24" i="1" s="1"/>
  <c r="H24" i="1" s="1"/>
  <c r="G24" i="1" s="1"/>
  <c r="F24" i="1" s="1"/>
  <c r="Z24" i="1"/>
  <c r="AB20" i="1"/>
  <c r="AC20" i="1"/>
  <c r="W20" i="1"/>
  <c r="E20" i="1"/>
  <c r="Y20" i="1" s="1"/>
  <c r="AD20" i="1"/>
  <c r="AA24" i="1"/>
  <c r="AH32" i="1" l="1"/>
  <c r="M30" i="1"/>
  <c r="L30" i="1" s="1"/>
  <c r="K30" i="1" s="1"/>
  <c r="J30" i="1" s="1"/>
  <c r="I30" i="1" s="1"/>
  <c r="H30" i="1" s="1"/>
  <c r="G30" i="1" s="1"/>
  <c r="F30" i="1" s="1"/>
  <c r="Z30" i="1"/>
  <c r="E28" i="1"/>
  <c r="Y28" i="1" s="1"/>
  <c r="AB28" i="1"/>
  <c r="AC28" i="1"/>
  <c r="W28" i="1"/>
  <c r="AH28" i="1" s="1"/>
  <c r="AD28" i="1"/>
  <c r="AH20" i="1"/>
  <c r="E26" i="1"/>
  <c r="Y26" i="1" s="1"/>
  <c r="AC26" i="1"/>
  <c r="W26" i="1"/>
  <c r="AB26" i="1"/>
  <c r="AD26" i="1"/>
  <c r="E24" i="1"/>
  <c r="Y24" i="1" s="1"/>
  <c r="AB24" i="1"/>
  <c r="W24" i="1"/>
  <c r="AC24" i="1"/>
  <c r="AD24" i="1"/>
  <c r="AB30" i="1" l="1"/>
  <c r="W30" i="1"/>
  <c r="AH30" i="1" s="1"/>
  <c r="AD30" i="1"/>
  <c r="AC30" i="1"/>
  <c r="E30" i="1"/>
  <c r="Y30" i="1" s="1"/>
  <c r="AH24" i="1"/>
  <c r="AH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<sst xmlns="http://schemas.openxmlformats.org/spreadsheetml/2006/main" count="125" uniqueCount="76">
  <si>
    <t>A=</t>
  </si>
  <si>
    <t>C=</t>
  </si>
  <si>
    <t>X1=</t>
  </si>
  <si>
    <t>X2=</t>
  </si>
  <si>
    <t>X3=</t>
  </si>
  <si>
    <t>A+C=</t>
  </si>
  <si>
    <t>X4=</t>
  </si>
  <si>
    <t>A+C+C=</t>
  </si>
  <si>
    <t>X5=</t>
  </si>
  <si>
    <t>C-A=</t>
  </si>
  <si>
    <t>X6=</t>
  </si>
  <si>
    <t>65536-X4=</t>
  </si>
  <si>
    <t>X7=</t>
  </si>
  <si>
    <t>-X1=</t>
  </si>
  <si>
    <t>X8=</t>
  </si>
  <si>
    <t>-X2=</t>
  </si>
  <si>
    <t>X9=</t>
  </si>
  <si>
    <t>-X3=</t>
  </si>
  <si>
    <t>X10=</t>
  </si>
  <si>
    <t>-X4=</t>
  </si>
  <si>
    <t>X11=</t>
  </si>
  <si>
    <t>X12=</t>
  </si>
  <si>
    <t>-X5=</t>
  </si>
  <si>
    <t>-X6=</t>
  </si>
  <si>
    <t>B1=</t>
  </si>
  <si>
    <t>B2=</t>
  </si>
  <si>
    <t>B3=</t>
  </si>
  <si>
    <t>B4=</t>
  </si>
  <si>
    <t>B5=</t>
  </si>
  <si>
    <t>B6=</t>
  </si>
  <si>
    <t>B1+B2=</t>
  </si>
  <si>
    <t>B2+B3=</t>
  </si>
  <si>
    <t>B2+B7=</t>
  </si>
  <si>
    <t>B7+B8=</t>
  </si>
  <si>
    <t>B8+B9=</t>
  </si>
  <si>
    <t>B1+B8=</t>
  </si>
  <si>
    <t>B11+B3=</t>
  </si>
  <si>
    <t>B7=-B1=</t>
  </si>
  <si>
    <t>B8=-B2=</t>
  </si>
  <si>
    <t>B9=-B3=</t>
  </si>
  <si>
    <t>B10=-B4=</t>
  </si>
  <si>
    <t>B11=-B5=</t>
  </si>
  <si>
    <t>B12=-B6=</t>
  </si>
  <si>
    <t>=</t>
  </si>
  <si>
    <t>CF</t>
  </si>
  <si>
    <t>PF</t>
  </si>
  <si>
    <t>AF</t>
  </si>
  <si>
    <t>ZF</t>
  </si>
  <si>
    <t>SF</t>
  </si>
  <si>
    <t>OF</t>
  </si>
  <si>
    <t>X+X</t>
  </si>
  <si>
    <t>На какой позиции 1</t>
  </si>
  <si>
    <t>=A=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</si>
  <si>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</si>
  <si>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</si>
  <si>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</si>
  <si>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</si>
  <si>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</si>
  <si>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</si>
  <si>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</si>
  <si>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</si>
  <si>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</si>
  <si>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</si>
  <si>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</si>
  <si>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</si>
  <si>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=C=</t>
  </si>
  <si>
    <t>=A+C=</t>
  </si>
  <si>
    <t>=A+C+C=</t>
  </si>
  <si>
    <t>=C-A=</t>
  </si>
  <si>
    <t>=65536-X4=</t>
  </si>
  <si>
    <t>=-X2=</t>
  </si>
  <si>
    <t>=-X1=</t>
  </si>
  <si>
    <t>=-X3=</t>
  </si>
  <si>
    <t>=-X4=</t>
  </si>
  <si>
    <t>=-X5=</t>
  </si>
  <si>
    <t>=-X6=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</si>
</sst>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Border="1" applyAlignment="1">
      <alignment horizontal="center" wrapText="1"/>
    </xf>
  </cellXfs>
  <cellStyles count="1">
    <cellStyle name="Обычный" xfId="0" builtinId="0"/>
  </cellStyles>
  <dxfs count="12">
    <dxf>
      <font>
        <color rgb="FFFF0000"/>
      </font>
    </dxf>
    <dxf>
      <font>
        <b/>
        <i val="0"/>
      </font>
    </dxf>
    <dxf>
      <font>
        <color rgb="FF9C0006"/>
      </font>
    </dxf>
    <dxf>
      <font>
        <b/>
        <i val="0"/>
      </font>
    </dxf>
    <dxf>
      <font>
        <color rgb="FFFF0000"/>
      </font>
    </dxf>
    <dxf>
      <font>
        <b/>
        <i val="0"/>
      </font>
    </dxf>
    <dxf>
      <font>
        <color rgb="FFFF0000"/>
      </font>
    </dxf>
    <dxf>
      <font>
        <b/>
        <i val="0"/>
      </font>
    </dxf>
    <dxf>
      <font>
        <color rgb="FF9C0006"/>
      </font>
    </dxf>
    <dxf>
      <font>
        <b/>
        <i val="0"/>
      </font>
    </dxf>
    <dxf>
      <font>
        <color rgb="FFFF0000"/>
      </font>
    </dxf>
    <dxf>
      <font>
        <b/>
        <i val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Круговая</a:t>
            </a:r>
            <a:r>
              <a:rPr lang="ru-RU" baseline="0"/>
              <a:t> диаграмма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0F-487F-9F76-79309DD88C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0F-487F-9F76-79309DD88C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B0F-487F-9F76-79309DD88C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B0F-487F-9F76-79309DD88C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B0F-487F-9F76-79309DD88C5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B0F-487F-9F76-79309DD88C5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B0F-487F-9F76-79309DD88C5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B0F-487F-9F76-79309DD88C5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B0F-487F-9F76-79309DD88C5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B0F-487F-9F76-79309DD88C5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B0F-487F-9F76-79309DD88C5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B0F-487F-9F76-79309DD88C57}"/>
              </c:ext>
            </c:extLst>
          </c:dPt>
          <c:cat>
            <c:strRef>
              <c:f>Лист2!$B$7:$B$18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Лист2!$D$7:$D$18</c:f>
              <c:numCache>
                <c:formatCode>General</c:formatCode>
                <c:ptCount val="12"/>
                <c:pt idx="0">
                  <c:v>5232</c:v>
                </c:pt>
                <c:pt idx="1">
                  <c:v>18094</c:v>
                </c:pt>
                <c:pt idx="2">
                  <c:v>23326</c:v>
                </c:pt>
                <c:pt idx="3">
                  <c:v>41420</c:v>
                </c:pt>
                <c:pt idx="4">
                  <c:v>12862</c:v>
                </c:pt>
                <c:pt idx="5">
                  <c:v>24116</c:v>
                </c:pt>
                <c:pt idx="6">
                  <c:v>-5232</c:v>
                </c:pt>
                <c:pt idx="7">
                  <c:v>-18094</c:v>
                </c:pt>
                <c:pt idx="8">
                  <c:v>-23326</c:v>
                </c:pt>
                <c:pt idx="9">
                  <c:v>-41420</c:v>
                </c:pt>
                <c:pt idx="10">
                  <c:v>-12862</c:v>
                </c:pt>
                <c:pt idx="11">
                  <c:v>-24116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1-4531-A5B9-7C89770AA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5</xdr:row>
      <xdr:rowOff>180975</xdr:rowOff>
    </xdr:from>
    <xdr:to>
      <xdr:col>12</xdr:col>
      <xdr:colOff>285750</xdr:colOff>
      <xdr:row>20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40AE27C-9812-499A-8746-9D53929B9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273F-3A5F-4657-8473-CADDEC98C4E3}">
  <sheetPr codeName="Лист1"/>
  <dimension ref="A2:AO33"/>
  <sheetViews>
    <sheetView topLeftCell="D2" zoomScale="105" zoomScaleNormal="115" workbookViewId="0">
      <selection activeCell="P13" sqref="P13"/>
    </sheetView>
  </sheetViews>
  <sheetFormatPr defaultRowHeight="15" x14ac:dyDescent="0.25"/>
  <cols>
    <col min="2" max="2" width="17.7109375" customWidth="1"/>
    <col min="22" max="22" width="24" style="5" customWidth="1"/>
    <col min="23" max="23" width="13.7109375" customWidth="1"/>
  </cols>
  <sheetData>
    <row r="2" spans="1:22" x14ac:dyDescent="0.25">
      <c r="A2" t="s">
        <v>0</v>
      </c>
      <c r="B2" s="1">
        <v>5232</v>
      </c>
    </row>
    <row r="3" spans="1:22" x14ac:dyDescent="0.25">
      <c r="A3" t="s">
        <v>1</v>
      </c>
      <c r="B3" s="2">
        <v>18094</v>
      </c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5232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0</v>
      </c>
      <c r="I5">
        <f t="shared" si="1"/>
        <v>1</v>
      </c>
      <c r="J5">
        <f t="shared" si="1"/>
        <v>0</v>
      </c>
      <c r="K5">
        <f t="shared" si="1"/>
        <v>1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1</v>
      </c>
      <c r="Q5">
        <f t="shared" si="1"/>
        <v>1</v>
      </c>
      <c r="R5">
        <f t="shared" si="1"/>
        <v>0</v>
      </c>
      <c r="S5">
        <f t="shared" si="1"/>
        <v>0</v>
      </c>
      <c r="T5">
        <f t="shared" si="1"/>
        <v>0</v>
      </c>
      <c r="U5">
        <f>MOD($C5, POWER(2, U$4))</f>
        <v>0</v>
      </c>
    </row>
    <row r="6" spans="1:22" x14ac:dyDescent="0.25">
      <c r="A6" t="s">
        <v>3</v>
      </c>
      <c r="B6" t="s">
        <v>1</v>
      </c>
      <c r="C6">
        <f>B3</f>
        <v>18094</v>
      </c>
      <c r="E6" t="s">
        <v>25</v>
      </c>
      <c r="F6">
        <f t="shared" ref="F6:T6" si="2">MOD(QUOTIENT($C6, POWER(2,G$4)),2)</f>
        <v>0</v>
      </c>
      <c r="G6">
        <f t="shared" si="2"/>
        <v>1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1</v>
      </c>
      <c r="L6">
        <f t="shared" si="2"/>
        <v>1</v>
      </c>
      <c r="M6">
        <f t="shared" si="2"/>
        <v>0</v>
      </c>
      <c r="N6">
        <f t="shared" si="2"/>
        <v>1</v>
      </c>
      <c r="O6">
        <f t="shared" si="2"/>
        <v>0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1</v>
      </c>
      <c r="T6">
        <f t="shared" si="2"/>
        <v>1</v>
      </c>
      <c r="U6">
        <f t="shared" ref="U6:U10" si="3">MOD($C6, POWER(2, U$4))</f>
        <v>0</v>
      </c>
    </row>
    <row r="7" spans="1:22" x14ac:dyDescent="0.25">
      <c r="A7" t="s">
        <v>4</v>
      </c>
      <c r="B7" t="s">
        <v>5</v>
      </c>
      <c r="C7">
        <f>B2+B3</f>
        <v>23326</v>
      </c>
      <c r="E7" t="s">
        <v>26</v>
      </c>
      <c r="F7">
        <f t="shared" ref="F7:T7" si="4">MOD(QUOTIENT($C7, POWER(2,G$4)),2)</f>
        <v>0</v>
      </c>
      <c r="G7">
        <f t="shared" si="4"/>
        <v>1</v>
      </c>
      <c r="H7">
        <f t="shared" si="4"/>
        <v>0</v>
      </c>
      <c r="I7">
        <f t="shared" si="4"/>
        <v>1</v>
      </c>
      <c r="J7">
        <f t="shared" si="4"/>
        <v>1</v>
      </c>
      <c r="K7">
        <f t="shared" si="4"/>
        <v>0</v>
      </c>
      <c r="L7">
        <f t="shared" si="4"/>
        <v>1</v>
      </c>
      <c r="M7">
        <f t="shared" si="4"/>
        <v>1</v>
      </c>
      <c r="N7">
        <f t="shared" si="4"/>
        <v>0</v>
      </c>
      <c r="O7">
        <f t="shared" si="4"/>
        <v>0</v>
      </c>
      <c r="P7">
        <f t="shared" si="4"/>
        <v>0</v>
      </c>
      <c r="Q7">
        <f t="shared" si="4"/>
        <v>1</v>
      </c>
      <c r="R7">
        <f t="shared" si="4"/>
        <v>1</v>
      </c>
      <c r="S7">
        <f t="shared" si="4"/>
        <v>1</v>
      </c>
      <c r="T7">
        <f t="shared" si="4"/>
        <v>1</v>
      </c>
      <c r="U7">
        <f t="shared" si="3"/>
        <v>0</v>
      </c>
    </row>
    <row r="8" spans="1:22" x14ac:dyDescent="0.25">
      <c r="A8" t="s">
        <v>6</v>
      </c>
      <c r="B8" t="s">
        <v>7</v>
      </c>
      <c r="C8">
        <f>B2+B3+B3</f>
        <v>41420</v>
      </c>
      <c r="E8" t="s">
        <v>27</v>
      </c>
      <c r="F8">
        <f t="shared" ref="F8:T8" si="5">MOD(QUOTIENT($C8, POWER(2,G$4)),2)</f>
        <v>1</v>
      </c>
      <c r="G8">
        <f t="shared" si="5"/>
        <v>0</v>
      </c>
      <c r="H8">
        <f t="shared" si="5"/>
        <v>1</v>
      </c>
      <c r="I8">
        <f t="shared" si="5"/>
        <v>0</v>
      </c>
      <c r="J8">
        <f t="shared" si="5"/>
        <v>0</v>
      </c>
      <c r="K8">
        <f t="shared" si="5"/>
        <v>0</v>
      </c>
      <c r="L8">
        <f t="shared" si="5"/>
        <v>0</v>
      </c>
      <c r="M8">
        <f t="shared" si="5"/>
        <v>1</v>
      </c>
      <c r="N8">
        <f t="shared" si="5"/>
        <v>1</v>
      </c>
      <c r="O8">
        <f t="shared" si="5"/>
        <v>1</v>
      </c>
      <c r="P8">
        <f t="shared" si="5"/>
        <v>0</v>
      </c>
      <c r="Q8">
        <f t="shared" si="5"/>
        <v>0</v>
      </c>
      <c r="R8">
        <f t="shared" si="5"/>
        <v>1</v>
      </c>
      <c r="S8">
        <f t="shared" si="5"/>
        <v>1</v>
      </c>
      <c r="T8">
        <f t="shared" si="5"/>
        <v>0</v>
      </c>
      <c r="U8">
        <f t="shared" si="3"/>
        <v>0</v>
      </c>
    </row>
    <row r="9" spans="1:22" x14ac:dyDescent="0.25">
      <c r="A9" t="s">
        <v>8</v>
      </c>
      <c r="B9" t="s">
        <v>9</v>
      </c>
      <c r="C9">
        <f>B3-B2</f>
        <v>12862</v>
      </c>
      <c r="E9" t="s">
        <v>28</v>
      </c>
      <c r="F9">
        <f t="shared" ref="F9:T9" si="6">MOD(QUOTIENT($C9, POWER(2,G$4)),2)</f>
        <v>0</v>
      </c>
      <c r="G9">
        <f t="shared" si="6"/>
        <v>0</v>
      </c>
      <c r="H9">
        <f t="shared" si="6"/>
        <v>1</v>
      </c>
      <c r="I9">
        <f t="shared" si="6"/>
        <v>1</v>
      </c>
      <c r="J9">
        <f t="shared" si="6"/>
        <v>0</v>
      </c>
      <c r="K9">
        <f t="shared" si="6"/>
        <v>0</v>
      </c>
      <c r="L9">
        <f t="shared" si="6"/>
        <v>1</v>
      </c>
      <c r="M9">
        <f t="shared" si="6"/>
        <v>0</v>
      </c>
      <c r="N9">
        <f t="shared" si="6"/>
        <v>0</v>
      </c>
      <c r="O9">
        <f t="shared" si="6"/>
        <v>0</v>
      </c>
      <c r="P9">
        <f t="shared" si="6"/>
        <v>1</v>
      </c>
      <c r="Q9">
        <f t="shared" si="6"/>
        <v>1</v>
      </c>
      <c r="R9">
        <f t="shared" si="6"/>
        <v>1</v>
      </c>
      <c r="S9">
        <f t="shared" si="6"/>
        <v>1</v>
      </c>
      <c r="T9">
        <f t="shared" si="6"/>
        <v>1</v>
      </c>
      <c r="U9">
        <f>MOD($C9, POWER(2, U$4))</f>
        <v>0</v>
      </c>
    </row>
    <row r="10" spans="1:22" x14ac:dyDescent="0.25">
      <c r="A10" t="s">
        <v>10</v>
      </c>
      <c r="B10" t="s">
        <v>11</v>
      </c>
      <c r="C10">
        <f>65536-C8</f>
        <v>24116</v>
      </c>
      <c r="E10" t="s">
        <v>29</v>
      </c>
      <c r="F10">
        <f t="shared" ref="F10:T10" si="7">MOD(QUOTIENT($C10, POWER(2,G$4)),2)</f>
        <v>0</v>
      </c>
      <c r="G10">
        <f t="shared" si="7"/>
        <v>1</v>
      </c>
      <c r="H10">
        <f t="shared" si="7"/>
        <v>0</v>
      </c>
      <c r="I10">
        <f t="shared" si="7"/>
        <v>1</v>
      </c>
      <c r="J10">
        <f t="shared" si="7"/>
        <v>1</v>
      </c>
      <c r="K10">
        <f t="shared" si="7"/>
        <v>1</v>
      </c>
      <c r="L10">
        <f t="shared" si="7"/>
        <v>1</v>
      </c>
      <c r="M10">
        <f t="shared" si="7"/>
        <v>0</v>
      </c>
      <c r="N10">
        <f t="shared" si="7"/>
        <v>0</v>
      </c>
      <c r="O10">
        <f t="shared" si="7"/>
        <v>0</v>
      </c>
      <c r="P10">
        <f t="shared" si="7"/>
        <v>1</v>
      </c>
      <c r="Q10">
        <f t="shared" si="7"/>
        <v>1</v>
      </c>
      <c r="R10">
        <f t="shared" si="7"/>
        <v>0</v>
      </c>
      <c r="S10">
        <f t="shared" si="7"/>
        <v>1</v>
      </c>
      <c r="T10">
        <f t="shared" si="7"/>
        <v>0</v>
      </c>
      <c r="U10">
        <f t="shared" si="3"/>
        <v>0</v>
      </c>
    </row>
    <row r="11" spans="1:22" x14ac:dyDescent="0.25">
      <c r="A11" t="s">
        <v>12</v>
      </c>
      <c r="B11" s="3" t="s">
        <v>13</v>
      </c>
      <c r="C11">
        <f t="shared" ref="C11:C16" si="8">-C5</f>
        <v>-5232</v>
      </c>
      <c r="E11" t="s">
        <v>37</v>
      </c>
      <c r="F11">
        <f t="shared" ref="F11:T16" si="9">IF(F$4&lt;=$V11, F5, MOD(F5+1, 2))</f>
        <v>1</v>
      </c>
      <c r="G11">
        <f t="shared" si="9"/>
        <v>1</v>
      </c>
      <c r="H11">
        <f t="shared" si="9"/>
        <v>1</v>
      </c>
      <c r="I11">
        <f t="shared" si="9"/>
        <v>0</v>
      </c>
      <c r="J11">
        <f t="shared" si="9"/>
        <v>1</v>
      </c>
      <c r="K11">
        <f t="shared" si="9"/>
        <v>0</v>
      </c>
      <c r="L11">
        <f t="shared" si="9"/>
        <v>1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0</v>
      </c>
      <c r="Q11">
        <f t="shared" si="9"/>
        <v>1</v>
      </c>
      <c r="R11">
        <f t="shared" si="9"/>
        <v>0</v>
      </c>
      <c r="S11">
        <f t="shared" si="9"/>
        <v>0</v>
      </c>
      <c r="T11">
        <f t="shared" si="9"/>
        <v>0</v>
      </c>
      <c r="U11">
        <f>IF(U$4&lt;=$V11, U5, MOD(U5+1, 2))</f>
        <v>0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5</v>
      </c>
    </row>
    <row r="12" spans="1:22" x14ac:dyDescent="0.25">
      <c r="A12" t="s">
        <v>14</v>
      </c>
      <c r="B12" s="3" t="s">
        <v>15</v>
      </c>
      <c r="C12">
        <f t="shared" si="8"/>
        <v>-18094</v>
      </c>
      <c r="E12" t="s">
        <v>38</v>
      </c>
      <c r="F12">
        <f t="shared" si="9"/>
        <v>1</v>
      </c>
      <c r="G12">
        <f t="shared" si="9"/>
        <v>0</v>
      </c>
      <c r="H12">
        <f t="shared" si="9"/>
        <v>1</v>
      </c>
      <c r="I12">
        <f t="shared" si="9"/>
        <v>1</v>
      </c>
      <c r="J12">
        <f t="shared" si="9"/>
        <v>1</v>
      </c>
      <c r="K12">
        <f t="shared" si="9"/>
        <v>0</v>
      </c>
      <c r="L12">
        <f t="shared" si="9"/>
        <v>0</v>
      </c>
      <c r="M12">
        <f t="shared" si="9"/>
        <v>1</v>
      </c>
      <c r="N12">
        <f t="shared" si="9"/>
        <v>0</v>
      </c>
      <c r="O12">
        <f t="shared" si="9"/>
        <v>1</v>
      </c>
      <c r="P12">
        <f t="shared" si="9"/>
        <v>0</v>
      </c>
      <c r="Q12">
        <f t="shared" si="9"/>
        <v>1</v>
      </c>
      <c r="R12">
        <f t="shared" si="9"/>
        <v>0</v>
      </c>
      <c r="S12">
        <f t="shared" si="9"/>
        <v>0</v>
      </c>
      <c r="T12">
        <f t="shared" si="9"/>
        <v>1</v>
      </c>
      <c r="U12">
        <f t="shared" ref="U12:U16" si="10">IF(U$4&lt;=$V12, U6, MOD(U6+1, 2))</f>
        <v>0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2</v>
      </c>
    </row>
    <row r="13" spans="1:22" x14ac:dyDescent="0.25">
      <c r="A13" t="s">
        <v>16</v>
      </c>
      <c r="B13" s="3" t="s">
        <v>17</v>
      </c>
      <c r="C13">
        <f t="shared" si="8"/>
        <v>-23326</v>
      </c>
      <c r="E13" t="s">
        <v>39</v>
      </c>
      <c r="F13">
        <f t="shared" si="9"/>
        <v>1</v>
      </c>
      <c r="G13">
        <f t="shared" si="9"/>
        <v>0</v>
      </c>
      <c r="H13">
        <f t="shared" si="9"/>
        <v>1</v>
      </c>
      <c r="I13">
        <f t="shared" si="9"/>
        <v>0</v>
      </c>
      <c r="J13">
        <f t="shared" si="9"/>
        <v>0</v>
      </c>
      <c r="K13">
        <f t="shared" si="9"/>
        <v>1</v>
      </c>
      <c r="L13">
        <f t="shared" si="9"/>
        <v>0</v>
      </c>
      <c r="M13">
        <f t="shared" si="9"/>
        <v>0</v>
      </c>
      <c r="N13">
        <f t="shared" si="9"/>
        <v>1</v>
      </c>
      <c r="O13">
        <f t="shared" si="9"/>
        <v>1</v>
      </c>
      <c r="P13">
        <f t="shared" si="9"/>
        <v>1</v>
      </c>
      <c r="Q13">
        <f t="shared" si="9"/>
        <v>0</v>
      </c>
      <c r="R13">
        <f t="shared" si="9"/>
        <v>0</v>
      </c>
      <c r="S13">
        <f t="shared" si="9"/>
        <v>0</v>
      </c>
      <c r="T13">
        <f t="shared" si="9"/>
        <v>1</v>
      </c>
      <c r="U13">
        <f t="shared" si="10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2</v>
      </c>
    </row>
    <row r="14" spans="1:22" x14ac:dyDescent="0.25">
      <c r="A14" t="s">
        <v>18</v>
      </c>
      <c r="B14" s="3" t="s">
        <v>19</v>
      </c>
      <c r="C14">
        <f t="shared" si="8"/>
        <v>-41420</v>
      </c>
      <c r="E14" t="s">
        <v>40</v>
      </c>
      <c r="F14">
        <f t="shared" si="9"/>
        <v>0</v>
      </c>
      <c r="G14">
        <f t="shared" si="9"/>
        <v>1</v>
      </c>
      <c r="H14">
        <f t="shared" si="9"/>
        <v>0</v>
      </c>
      <c r="I14">
        <f t="shared" si="9"/>
        <v>1</v>
      </c>
      <c r="J14">
        <f t="shared" si="9"/>
        <v>1</v>
      </c>
      <c r="K14">
        <f t="shared" si="9"/>
        <v>1</v>
      </c>
      <c r="L14">
        <f t="shared" si="9"/>
        <v>1</v>
      </c>
      <c r="M14">
        <f t="shared" si="9"/>
        <v>0</v>
      </c>
      <c r="N14">
        <f t="shared" si="9"/>
        <v>0</v>
      </c>
      <c r="O14">
        <f t="shared" si="9"/>
        <v>0</v>
      </c>
      <c r="P14">
        <f t="shared" si="9"/>
        <v>1</v>
      </c>
      <c r="Q14">
        <f t="shared" si="9"/>
        <v>1</v>
      </c>
      <c r="R14">
        <f t="shared" si="9"/>
        <v>0</v>
      </c>
      <c r="S14">
        <f t="shared" si="9"/>
        <v>1</v>
      </c>
      <c r="T14">
        <f t="shared" si="9"/>
        <v>0</v>
      </c>
      <c r="U14">
        <f t="shared" si="10"/>
        <v>0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3</v>
      </c>
    </row>
    <row r="15" spans="1:22" x14ac:dyDescent="0.25">
      <c r="A15" t="s">
        <v>20</v>
      </c>
      <c r="B15" s="3" t="s">
        <v>22</v>
      </c>
      <c r="C15">
        <f t="shared" si="8"/>
        <v>-12862</v>
      </c>
      <c r="E15" t="s">
        <v>41</v>
      </c>
      <c r="F15">
        <f t="shared" si="9"/>
        <v>1</v>
      </c>
      <c r="G15">
        <f t="shared" si="9"/>
        <v>1</v>
      </c>
      <c r="H15">
        <f t="shared" si="9"/>
        <v>0</v>
      </c>
      <c r="I15">
        <f t="shared" si="9"/>
        <v>0</v>
      </c>
      <c r="J15">
        <f t="shared" si="9"/>
        <v>1</v>
      </c>
      <c r="K15">
        <f t="shared" si="9"/>
        <v>1</v>
      </c>
      <c r="L15">
        <f t="shared" si="9"/>
        <v>0</v>
      </c>
      <c r="M15">
        <f t="shared" si="9"/>
        <v>1</v>
      </c>
      <c r="N15">
        <f t="shared" si="9"/>
        <v>1</v>
      </c>
      <c r="O15">
        <f t="shared" si="9"/>
        <v>1</v>
      </c>
      <c r="P15">
        <f t="shared" si="9"/>
        <v>0</v>
      </c>
      <c r="Q15">
        <f t="shared" si="9"/>
        <v>0</v>
      </c>
      <c r="R15">
        <f t="shared" si="9"/>
        <v>0</v>
      </c>
      <c r="S15">
        <f t="shared" si="9"/>
        <v>0</v>
      </c>
      <c r="T15">
        <f t="shared" si="9"/>
        <v>1</v>
      </c>
      <c r="U15">
        <f t="shared" si="10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8"/>
        <v>-24116</v>
      </c>
      <c r="E16" t="s">
        <v>42</v>
      </c>
      <c r="F16">
        <f t="shared" si="9"/>
        <v>1</v>
      </c>
      <c r="G16">
        <f t="shared" si="9"/>
        <v>0</v>
      </c>
      <c r="H16">
        <f t="shared" si="9"/>
        <v>1</v>
      </c>
      <c r="I16">
        <f t="shared" si="9"/>
        <v>0</v>
      </c>
      <c r="J16">
        <f t="shared" si="9"/>
        <v>0</v>
      </c>
      <c r="K16">
        <f t="shared" si="9"/>
        <v>0</v>
      </c>
      <c r="L16">
        <f t="shared" si="9"/>
        <v>0</v>
      </c>
      <c r="M16">
        <f t="shared" si="9"/>
        <v>1</v>
      </c>
      <c r="N16">
        <f t="shared" si="9"/>
        <v>1</v>
      </c>
      <c r="O16">
        <f t="shared" si="9"/>
        <v>1</v>
      </c>
      <c r="P16">
        <f t="shared" si="9"/>
        <v>0</v>
      </c>
      <c r="Q16">
        <f t="shared" si="9"/>
        <v>0</v>
      </c>
      <c r="R16">
        <f t="shared" si="9"/>
        <v>1</v>
      </c>
      <c r="S16">
        <f t="shared" si="9"/>
        <v>1</v>
      </c>
      <c r="T16">
        <f t="shared" si="9"/>
        <v>0</v>
      </c>
      <c r="U16">
        <f t="shared" si="10"/>
        <v>0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3</v>
      </c>
    </row>
    <row r="19" spans="4:41" x14ac:dyDescent="0.25">
      <c r="E19" s="6">
        <v>17</v>
      </c>
      <c r="F19" s="4">
        <f>E19-1</f>
        <v>16</v>
      </c>
      <c r="G19" s="4">
        <f t="shared" ref="G19:U19" si="11">F19-1</f>
        <v>15</v>
      </c>
      <c r="H19" s="4">
        <f t="shared" si="11"/>
        <v>14</v>
      </c>
      <c r="I19" s="4">
        <f t="shared" si="11"/>
        <v>13</v>
      </c>
      <c r="J19" s="4">
        <f t="shared" si="11"/>
        <v>12</v>
      </c>
      <c r="K19" s="4">
        <f t="shared" si="11"/>
        <v>11</v>
      </c>
      <c r="L19" s="4">
        <f t="shared" si="11"/>
        <v>10</v>
      </c>
      <c r="M19" s="4">
        <f t="shared" si="11"/>
        <v>9</v>
      </c>
      <c r="N19" s="4">
        <f t="shared" si="11"/>
        <v>8</v>
      </c>
      <c r="O19" s="4">
        <f t="shared" si="11"/>
        <v>7</v>
      </c>
      <c r="P19" s="4">
        <f t="shared" si="11"/>
        <v>6</v>
      </c>
      <c r="Q19" s="4">
        <f t="shared" si="11"/>
        <v>5</v>
      </c>
      <c r="R19" s="4">
        <f t="shared" si="11"/>
        <v>4</v>
      </c>
      <c r="S19" s="4">
        <f t="shared" si="11"/>
        <v>3</v>
      </c>
      <c r="T19" s="4">
        <f t="shared" si="11"/>
        <v>2</v>
      </c>
      <c r="U19" s="7">
        <f t="shared" si="11"/>
        <v>1</v>
      </c>
      <c r="Y19" s="5" t="s">
        <v>44</v>
      </c>
      <c r="Z19" s="5" t="s">
        <v>45</v>
      </c>
      <c r="AA19" s="5" t="s">
        <v>46</v>
      </c>
      <c r="AB19" s="5" t="s">
        <v>47</v>
      </c>
      <c r="AC19" s="5" t="s">
        <v>48</v>
      </c>
      <c r="AD19" s="5" t="s">
        <v>49</v>
      </c>
      <c r="AF19" s="5" t="s">
        <v>50</v>
      </c>
    </row>
    <row r="20" spans="4:41" x14ac:dyDescent="0.25">
      <c r="D20" t="s">
        <v>30</v>
      </c>
      <c r="E20">
        <f>IF(OR(F5+F6=2, AND(MOD(F5+F6, 2)&lt;&gt;F20, F5+F6=1)), 1, 0)</f>
        <v>0</v>
      </c>
      <c r="F20">
        <f t="shared" ref="F20:S20" si="12">IF(OR(G5+G6=2, AND(MOD(G5+G6, 2)&lt;&gt;G20, G5+G6=1)), MOD(F5+F6+1, 2), MOD(F5+F6, 2))</f>
        <v>0</v>
      </c>
      <c r="G20">
        <f t="shared" si="12"/>
        <v>1</v>
      </c>
      <c r="H20">
        <f t="shared" si="12"/>
        <v>0</v>
      </c>
      <c r="I20">
        <f t="shared" si="12"/>
        <v>1</v>
      </c>
      <c r="J20">
        <f t="shared" si="12"/>
        <v>1</v>
      </c>
      <c r="K20">
        <f t="shared" si="12"/>
        <v>0</v>
      </c>
      <c r="L20">
        <f t="shared" si="12"/>
        <v>1</v>
      </c>
      <c r="M20">
        <f t="shared" si="12"/>
        <v>1</v>
      </c>
      <c r="N20">
        <f t="shared" si="12"/>
        <v>0</v>
      </c>
      <c r="O20">
        <f t="shared" si="12"/>
        <v>0</v>
      </c>
      <c r="P20">
        <f t="shared" si="12"/>
        <v>0</v>
      </c>
      <c r="Q20">
        <f t="shared" si="12"/>
        <v>1</v>
      </c>
      <c r="R20">
        <f t="shared" si="12"/>
        <v>1</v>
      </c>
      <c r="S20">
        <f t="shared" si="12"/>
        <v>1</v>
      </c>
      <c r="T20">
        <f>IF(OR(U5+U6=2, AND(MOD(U5+U6, 2)&lt;&gt;U20, U5+U6=1)), MOD(T5+T6+1, 2), MOD(T5+T6, 2))</f>
        <v>1</v>
      </c>
      <c r="U20">
        <f>MOD(U5+U6, 2)</f>
        <v>0</v>
      </c>
      <c r="V20" s="5" t="s">
        <v>43</v>
      </c>
      <c r="W20">
        <f>IF(F20=0, SUM(U20*1, T20*2, S20*4, R20*8, Q20*16, P20*32, O20*64, N20*128, M20*256, L20*512, K20*1024, J20*2048, I20*4096, H20*2*4096, G20*4*4096),SUM(U20*1, T20*2, S20*4, R20*8, Q20*16, P20*32, O20*64, N20*128, M20*256, L20*512, K20*1024, J20*2048, I20*4096, H20*2*4096, G20*4*4096)-POWER(2, 16))</f>
        <v>23326</v>
      </c>
      <c r="Y20" s="5">
        <f>E20</f>
        <v>0</v>
      </c>
      <c r="Z20" s="5">
        <f>IF(MOD(SUM(N20:U20), 2)=0, 1, 0)</f>
        <v>1</v>
      </c>
      <c r="AA20" s="5">
        <f>IF(OR(R5+R6=2, AND(MOD(R5+R6, 2)&lt;&gt;R20, R5+R6=1)), 1, 0)</f>
        <v>0</v>
      </c>
      <c r="AB20" s="5">
        <f>IF(SUM(F20:U20)=0, 1, 0)</f>
        <v>0</v>
      </c>
      <c r="AC20" s="5">
        <f>F20</f>
        <v>0</v>
      </c>
      <c r="AD20" s="5">
        <f>IF(AND(F5=F6, F20&lt;&gt;F5), 1, 0)</f>
        <v>0</v>
      </c>
      <c r="AF20">
        <f>C5+C6</f>
        <v>23326</v>
      </c>
      <c r="AH20" s="8" t="str">
        <f>IF(W20=AF20, IF(Y20=0, "Результат корректный", "Результат корректный. Перенос из старшего разряда не учитывается"), IF(AD20=1, IF(AND(C5&lt;0, C6&lt;0),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20" s="8"/>
      <c r="AJ20" s="8"/>
      <c r="AK20" s="8"/>
      <c r="AL20" s="8"/>
      <c r="AM20" s="8"/>
      <c r="AN20" s="8"/>
      <c r="AO20" s="8"/>
    </row>
    <row r="21" spans="4:41" x14ac:dyDescent="0.25">
      <c r="Y21" s="5"/>
      <c r="Z21" s="5"/>
      <c r="AA21" s="5"/>
      <c r="AB21" s="5"/>
      <c r="AC21" s="5"/>
      <c r="AD21" s="5"/>
      <c r="AH21" s="8"/>
      <c r="AI21" s="8"/>
      <c r="AJ21" s="8"/>
      <c r="AK21" s="8"/>
      <c r="AL21" s="8"/>
      <c r="AM21" s="8"/>
      <c r="AN21" s="8"/>
      <c r="AO21" s="8"/>
    </row>
    <row r="22" spans="4:41" x14ac:dyDescent="0.25">
      <c r="D22" t="s">
        <v>31</v>
      </c>
      <c r="E22">
        <f>IF(OR(F6+F7=2, AND(MOD(F6+F7, 2)&lt;&gt;F22, F6+F7=1)), 1, 0)</f>
        <v>0</v>
      </c>
      <c r="F22">
        <f>IF(OR(G6+G7=2, AND(MOD(G6+G7, 2)&lt;&gt;G22, G6+G7=1)), MOD(F6+F7+1, 2), MOD(F6+F7, 2))</f>
        <v>1</v>
      </c>
      <c r="G22">
        <f t="shared" ref="G22:T22" si="13">IF(OR(H6+H7=2, AND(MOD(H6+H7, 2)&lt;&gt;H22, H6+H7=1)), MOD(G6+G7+1, 2), MOD(G6+G7, 2))</f>
        <v>0</v>
      </c>
      <c r="H22">
        <f t="shared" si="13"/>
        <v>1</v>
      </c>
      <c r="I22">
        <f t="shared" si="13"/>
        <v>0</v>
      </c>
      <c r="J22">
        <f t="shared" si="13"/>
        <v>0</v>
      </c>
      <c r="K22">
        <f t="shared" si="13"/>
        <v>0</v>
      </c>
      <c r="L22">
        <f t="shared" si="13"/>
        <v>0</v>
      </c>
      <c r="M22">
        <f t="shared" si="13"/>
        <v>1</v>
      </c>
      <c r="N22">
        <f t="shared" si="13"/>
        <v>1</v>
      </c>
      <c r="O22">
        <f t="shared" si="13"/>
        <v>1</v>
      </c>
      <c r="P22">
        <f t="shared" si="13"/>
        <v>0</v>
      </c>
      <c r="Q22">
        <f t="shared" si="13"/>
        <v>0</v>
      </c>
      <c r="R22">
        <f t="shared" si="13"/>
        <v>1</v>
      </c>
      <c r="S22">
        <f t="shared" si="13"/>
        <v>1</v>
      </c>
      <c r="T22">
        <f t="shared" si="13"/>
        <v>0</v>
      </c>
      <c r="U22">
        <f>MOD(U6+U7, 2)</f>
        <v>0</v>
      </c>
      <c r="V22" s="5" t="s">
        <v>43</v>
      </c>
      <c r="W22">
        <f t="shared" ref="W22:W32" si="14">IF(F22=0, SUM(U22*1, T22*2, S22*4, R22*8, Q22*16, P22*32, O22*64, N22*128, M22*256, L22*512, K22*1024, J22*2048, I22*4096, H22*2*4096, G22*4*4096, F22*8*4096),SUM(U22*1, T22*2, S22*4, R22*8, Q22*16, P22*32, O22*64, N22*128, M22*256, L22*512, K22*1024, J22*2048, I22*4096, H22*2*4096, G22*4*4096, F22*8*4096)-POWER(2, 16))</f>
        <v>-24116</v>
      </c>
      <c r="Y22" s="5">
        <f t="shared" ref="Y22:Y32" si="15">E22</f>
        <v>0</v>
      </c>
      <c r="Z22" s="5">
        <f t="shared" ref="Z22:Z32" si="16">IF(MOD(SUM(N22:U22), 2)=0, 1, 0)</f>
        <v>1</v>
      </c>
      <c r="AA22" s="5">
        <f>IF(OR(R6+R7=2, AND(MOD(R6+R7, 2)&lt;&gt;R22, R6+R7=1)), 1, 0)</f>
        <v>1</v>
      </c>
      <c r="AB22" s="5">
        <f t="shared" ref="AB22:AB32" si="17">IF(SUM(F22:U22)=0, 1, 0)</f>
        <v>0</v>
      </c>
      <c r="AC22" s="5">
        <f t="shared" ref="AC22:AC32" si="18">F22</f>
        <v>1</v>
      </c>
      <c r="AD22" s="5">
        <f>IF(AND(F6=F7, F22&lt;&gt;F6), 1, 0)</f>
        <v>1</v>
      </c>
      <c r="AF22">
        <f>C6+C7</f>
        <v>41420</v>
      </c>
      <c r="AH22" s="8" t="str">
        <f>IF(W22=AF22, IF(Y22=0, "Результат корректный", "Результат корректный. Перенос из старшего разряда не учитывается"), IF(AD22=1, IF(AND(C6&lt;0,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положительных чисел получили отрицательный результат. ПЕРЕПОЛНЕНИЕ</v>
      </c>
      <c r="AI22" s="8"/>
      <c r="AJ22" s="8"/>
      <c r="AK22" s="8"/>
      <c r="AL22" s="8"/>
      <c r="AM22" s="8"/>
      <c r="AN22" s="8"/>
      <c r="AO22" s="8"/>
    </row>
    <row r="23" spans="4:41" x14ac:dyDescent="0.25">
      <c r="Y23" s="5"/>
      <c r="Z23" s="5"/>
      <c r="AA23" s="5"/>
      <c r="AB23" s="5"/>
      <c r="AC23" s="5"/>
      <c r="AD23" s="5"/>
      <c r="AH23" s="8"/>
      <c r="AI23" s="8"/>
      <c r="AJ23" s="8"/>
      <c r="AK23" s="8"/>
      <c r="AL23" s="8"/>
      <c r="AM23" s="8"/>
      <c r="AN23" s="8"/>
      <c r="AO23" s="8"/>
    </row>
    <row r="24" spans="4:41" x14ac:dyDescent="0.25">
      <c r="D24" t="s">
        <v>32</v>
      </c>
      <c r="E24">
        <f>IF(OR(F6+F11=2, AND(MOD(F6+F11, 2)&lt;&gt;F24, F6+F11=1)), 1, 0)</f>
        <v>1</v>
      </c>
      <c r="F24">
        <f>IF(OR(G6+G11=2, AND(MOD(G6+G11, 2)&lt;&gt;G24, G6+G11=1)), MOD(F6+F11+1, 2), MOD(F6+F11, 2))</f>
        <v>0</v>
      </c>
      <c r="G24">
        <f t="shared" ref="G24:T24" si="19">IF(OR(H6+H11=2, AND(MOD(H6+H11, 2)&lt;&gt;H24, H6+H11=1)), MOD(G6+G11+1, 2), MOD(G6+G11, 2))</f>
        <v>0</v>
      </c>
      <c r="H24">
        <f t="shared" si="19"/>
        <v>1</v>
      </c>
      <c r="I24">
        <f t="shared" si="19"/>
        <v>1</v>
      </c>
      <c r="J24">
        <f t="shared" si="19"/>
        <v>0</v>
      </c>
      <c r="K24">
        <f t="shared" si="19"/>
        <v>0</v>
      </c>
      <c r="L24">
        <f t="shared" si="19"/>
        <v>1</v>
      </c>
      <c r="M24">
        <f t="shared" si="19"/>
        <v>0</v>
      </c>
      <c r="N24">
        <f t="shared" si="19"/>
        <v>0</v>
      </c>
      <c r="O24">
        <f t="shared" si="19"/>
        <v>0</v>
      </c>
      <c r="P24">
        <f t="shared" si="19"/>
        <v>1</v>
      </c>
      <c r="Q24">
        <f t="shared" si="19"/>
        <v>1</v>
      </c>
      <c r="R24">
        <f t="shared" si="19"/>
        <v>1</v>
      </c>
      <c r="S24">
        <f t="shared" si="19"/>
        <v>1</v>
      </c>
      <c r="T24">
        <f t="shared" si="19"/>
        <v>1</v>
      </c>
      <c r="U24">
        <f>MOD(U6+U11, 2)</f>
        <v>0</v>
      </c>
      <c r="V24" s="5" t="s">
        <v>43</v>
      </c>
      <c r="W24">
        <f t="shared" si="14"/>
        <v>12862</v>
      </c>
      <c r="Y24" s="5">
        <f t="shared" si="15"/>
        <v>1</v>
      </c>
      <c r="Z24" s="5">
        <f t="shared" si="16"/>
        <v>0</v>
      </c>
      <c r="AA24" s="5">
        <f>IF(OR(R6+R11=2, AND(MOD(R6+R11, 2)&lt;&gt;R24, R6+R11=1)), 1, 0)</f>
        <v>0</v>
      </c>
      <c r="AB24" s="5">
        <f t="shared" si="17"/>
        <v>0</v>
      </c>
      <c r="AC24" s="5">
        <f t="shared" si="18"/>
        <v>0</v>
      </c>
      <c r="AD24" s="5">
        <f>IF(AND(F6=F11, F24&lt;&gt;F6), 1, 0)</f>
        <v>0</v>
      </c>
      <c r="AF24">
        <f>C6+C11</f>
        <v>12862</v>
      </c>
      <c r="AH24" s="8" t="str">
        <f>IF(W24=AF24, IF(Y24=0, "Результат корректный", "Результат корректный. Перенос из старшего разряда не учитывается"), IF(AD24=1, IF(AND(C6&lt;0, C11&lt;0),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4" s="8"/>
      <c r="AJ24" s="8"/>
      <c r="AK24" s="8"/>
      <c r="AL24" s="8"/>
      <c r="AM24" s="8"/>
      <c r="AN24" s="8"/>
      <c r="AO24" s="8"/>
    </row>
    <row r="25" spans="4:41" x14ac:dyDescent="0.25">
      <c r="Y25" s="5"/>
      <c r="Z25" s="5"/>
      <c r="AA25" s="5"/>
      <c r="AB25" s="5"/>
      <c r="AC25" s="5"/>
      <c r="AD25" s="5"/>
      <c r="AH25" s="8"/>
      <c r="AI25" s="8"/>
      <c r="AJ25" s="8"/>
      <c r="AK25" s="8"/>
      <c r="AL25" s="8"/>
      <c r="AM25" s="8"/>
      <c r="AN25" s="8"/>
      <c r="AO25" s="8"/>
    </row>
    <row r="26" spans="4:41" x14ac:dyDescent="0.25">
      <c r="D26" t="s">
        <v>33</v>
      </c>
      <c r="E26">
        <f>IF(OR(F11+F12=2, AND(MOD(F11+F12, 2)&lt;&gt;F26, F11+F12=1)), 1, 0)</f>
        <v>1</v>
      </c>
      <c r="F26">
        <f>IF(OR(G11+G12=2, AND(MOD(G11+G12, 2)&lt;&gt;G26, G11+G12=1)), MOD(F11+F12+1, 2), MOD(F11+F12, 2))</f>
        <v>1</v>
      </c>
      <c r="G26">
        <f t="shared" ref="G26:T26" si="20">IF(OR(H11+H12=2, AND(MOD(H11+H12, 2)&lt;&gt;H26, H11+H12=1)), MOD(G11+G12+1, 2), MOD(G11+G12, 2))</f>
        <v>0</v>
      </c>
      <c r="H26">
        <f t="shared" si="20"/>
        <v>1</v>
      </c>
      <c r="I26">
        <f t="shared" si="20"/>
        <v>0</v>
      </c>
      <c r="J26">
        <f t="shared" si="20"/>
        <v>0</v>
      </c>
      <c r="K26">
        <f t="shared" si="20"/>
        <v>1</v>
      </c>
      <c r="L26">
        <f t="shared" si="20"/>
        <v>0</v>
      </c>
      <c r="M26">
        <f t="shared" si="20"/>
        <v>0</v>
      </c>
      <c r="N26">
        <f t="shared" si="20"/>
        <v>1</v>
      </c>
      <c r="O26">
        <f t="shared" si="20"/>
        <v>1</v>
      </c>
      <c r="P26">
        <f t="shared" si="20"/>
        <v>1</v>
      </c>
      <c r="Q26">
        <f t="shared" si="20"/>
        <v>0</v>
      </c>
      <c r="R26">
        <f t="shared" si="20"/>
        <v>0</v>
      </c>
      <c r="S26">
        <f t="shared" si="20"/>
        <v>0</v>
      </c>
      <c r="T26">
        <f t="shared" si="20"/>
        <v>1</v>
      </c>
      <c r="U26">
        <f>MOD(U11+U12, 2)</f>
        <v>0</v>
      </c>
      <c r="V26" s="5" t="s">
        <v>43</v>
      </c>
      <c r="W26">
        <f t="shared" si="14"/>
        <v>-23326</v>
      </c>
      <c r="Y26" s="5">
        <f t="shared" si="15"/>
        <v>1</v>
      </c>
      <c r="Z26" s="5">
        <f t="shared" si="16"/>
        <v>1</v>
      </c>
      <c r="AA26" s="5">
        <f>IF(OR(R11+R12=2, AND(MOD(R11+R12, 2)&lt;&gt;R26, R11+R12=1)), 1, 0)</f>
        <v>0</v>
      </c>
      <c r="AB26" s="5">
        <f t="shared" si="17"/>
        <v>0</v>
      </c>
      <c r="AC26" s="5">
        <f t="shared" si="18"/>
        <v>1</v>
      </c>
      <c r="AD26" s="5">
        <f>IF(AND(F11=F12, F26&lt;&gt;F11), 1, 0)</f>
        <v>0</v>
      </c>
      <c r="AF26">
        <f>C11+C12</f>
        <v>-23326</v>
      </c>
      <c r="AH26" s="8" t="str">
        <f>IF(W26=AF26, IF(Y26=0, "Результат корректный", "Результат корректный. Перенос из старшего разряда не учитывается"), IF(AD26=1, IF(AND(C11&lt;0,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26" s="8"/>
      <c r="AJ26" s="8"/>
      <c r="AK26" s="8"/>
      <c r="AL26" s="8"/>
      <c r="AM26" s="8"/>
      <c r="AN26" s="8"/>
      <c r="AO26" s="8"/>
    </row>
    <row r="27" spans="4:41" x14ac:dyDescent="0.25">
      <c r="Y27" s="5"/>
      <c r="Z27" s="5"/>
      <c r="AA27" s="5"/>
      <c r="AB27" s="5"/>
      <c r="AC27" s="5"/>
      <c r="AD27" s="5"/>
      <c r="AH27" s="8"/>
      <c r="AI27" s="8"/>
      <c r="AJ27" s="8"/>
      <c r="AK27" s="8"/>
      <c r="AL27" s="8"/>
      <c r="AM27" s="8"/>
      <c r="AN27" s="8"/>
      <c r="AO27" s="8"/>
    </row>
    <row r="28" spans="4:41" x14ac:dyDescent="0.25">
      <c r="D28" t="s">
        <v>34</v>
      </c>
      <c r="E28">
        <f>IF(OR(F12+F13=2, AND(MOD(F12+F13, 2)&lt;&gt;F28, F12+F13=1)), 1, 0)</f>
        <v>1</v>
      </c>
      <c r="F28">
        <f>IF(OR(G12+G13=2, AND(MOD(G12+G13, 2)&lt;&gt;G28, G12+G13=1)), MOD(F12+F13+1, 2), MOD(F12+F13, 2))</f>
        <v>0</v>
      </c>
      <c r="G28">
        <f t="shared" ref="G28:T28" si="21">IF(OR(H12+H13=2, AND(MOD(H12+H13, 2)&lt;&gt;H28, H12+H13=1)), MOD(G12+G13+1, 2), MOD(G12+G13, 2))</f>
        <v>1</v>
      </c>
      <c r="H28">
        <f t="shared" si="21"/>
        <v>0</v>
      </c>
      <c r="I28">
        <f t="shared" si="21"/>
        <v>1</v>
      </c>
      <c r="J28">
        <f t="shared" si="21"/>
        <v>1</v>
      </c>
      <c r="K28">
        <f t="shared" si="21"/>
        <v>1</v>
      </c>
      <c r="L28">
        <f t="shared" si="21"/>
        <v>1</v>
      </c>
      <c r="M28">
        <f t="shared" si="21"/>
        <v>0</v>
      </c>
      <c r="N28">
        <f t="shared" si="21"/>
        <v>0</v>
      </c>
      <c r="O28">
        <f t="shared" si="21"/>
        <v>0</v>
      </c>
      <c r="P28">
        <f t="shared" si="21"/>
        <v>1</v>
      </c>
      <c r="Q28">
        <f t="shared" si="21"/>
        <v>1</v>
      </c>
      <c r="R28">
        <f t="shared" si="21"/>
        <v>0</v>
      </c>
      <c r="S28">
        <f t="shared" si="21"/>
        <v>1</v>
      </c>
      <c r="T28">
        <f t="shared" si="21"/>
        <v>0</v>
      </c>
      <c r="U28">
        <f>MOD(U12+U13, 2)</f>
        <v>0</v>
      </c>
      <c r="V28" s="5" t="s">
        <v>43</v>
      </c>
      <c r="W28">
        <f t="shared" si="14"/>
        <v>24116</v>
      </c>
      <c r="Y28" s="5">
        <f t="shared" si="15"/>
        <v>1</v>
      </c>
      <c r="Z28" s="5">
        <f t="shared" si="16"/>
        <v>0</v>
      </c>
      <c r="AA28" s="5">
        <f>IF(OR(R12+R13=2,AND(MOD(R12+R13,2)&lt;&gt;R28, R12+R13=1)),1,0)</f>
        <v>0</v>
      </c>
      <c r="AB28" s="5">
        <f t="shared" si="17"/>
        <v>0</v>
      </c>
      <c r="AC28" s="5">
        <f t="shared" si="18"/>
        <v>0</v>
      </c>
      <c r="AD28" s="5">
        <f>IF(AND(F12=F13, F28&lt;&gt;F12), 1, 0)</f>
        <v>1</v>
      </c>
      <c r="AF28">
        <f>C12+C13</f>
        <v>-41420</v>
      </c>
      <c r="AH28" s="8" t="str">
        <f>IF(W28=AF28, IF(Y28=0, "Результат корректный", "Результат корректный. Перенос из старшего разряда не учитывается"), IF(AD28=1, IF(AND(C12&lt;0, C13&lt;0),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При сложении отрицательных чисел получили положительный результат. ПЕРЕПОЛНЕНИЕ</v>
      </c>
      <c r="AI28" s="8"/>
      <c r="AJ28" s="8"/>
      <c r="AK28" s="8"/>
      <c r="AL28" s="8"/>
      <c r="AM28" s="8"/>
      <c r="AN28" s="8"/>
      <c r="AO28" s="8"/>
    </row>
    <row r="29" spans="4:41" x14ac:dyDescent="0.25">
      <c r="Y29" s="5"/>
      <c r="Z29" s="5"/>
      <c r="AA29" s="5"/>
      <c r="AB29" s="5"/>
      <c r="AC29" s="5"/>
      <c r="AD29" s="5"/>
      <c r="AH29" s="8"/>
      <c r="AI29" s="8"/>
      <c r="AJ29" s="8"/>
      <c r="AK29" s="8"/>
      <c r="AL29" s="8"/>
      <c r="AM29" s="8"/>
      <c r="AN29" s="8"/>
      <c r="AO29" s="8"/>
    </row>
    <row r="30" spans="4:41" x14ac:dyDescent="0.25">
      <c r="D30" t="s">
        <v>35</v>
      </c>
      <c r="E30">
        <f>IF(OR(F5+F12=2, AND(MOD(F5+F12, 2)&lt;&gt;F30, F5+F12=1)), 1, 0)</f>
        <v>0</v>
      </c>
      <c r="F30">
        <f>IF(OR(G5+G12=2, AND(MOD(G5+G12, 2)&lt;&gt;G30, G5+G12=1)), MOD(F5+F12+1, 2), MOD(F5+F12, 2))</f>
        <v>1</v>
      </c>
      <c r="G30">
        <f t="shared" ref="G30:T30" si="22">IF(OR(H5+H12=2, AND(MOD(H5+H12, 2)&lt;&gt;H30, H5+H12=1)), MOD(G5+G12+1, 2), MOD(G5+G12, 2))</f>
        <v>1</v>
      </c>
      <c r="H30">
        <f t="shared" si="22"/>
        <v>0</v>
      </c>
      <c r="I30">
        <f t="shared" si="22"/>
        <v>0</v>
      </c>
      <c r="J30">
        <f t="shared" si="22"/>
        <v>1</v>
      </c>
      <c r="K30">
        <f t="shared" si="22"/>
        <v>1</v>
      </c>
      <c r="L30">
        <f t="shared" si="22"/>
        <v>0</v>
      </c>
      <c r="M30">
        <f t="shared" si="22"/>
        <v>1</v>
      </c>
      <c r="N30">
        <f t="shared" si="22"/>
        <v>1</v>
      </c>
      <c r="O30">
        <f t="shared" si="22"/>
        <v>1</v>
      </c>
      <c r="P30">
        <f t="shared" si="22"/>
        <v>0</v>
      </c>
      <c r="Q30">
        <f t="shared" si="22"/>
        <v>0</v>
      </c>
      <c r="R30">
        <f t="shared" si="22"/>
        <v>0</v>
      </c>
      <c r="S30">
        <f t="shared" si="22"/>
        <v>0</v>
      </c>
      <c r="T30">
        <f t="shared" si="22"/>
        <v>1</v>
      </c>
      <c r="U30">
        <f>MOD(U5+U12, 2)</f>
        <v>0</v>
      </c>
      <c r="V30" s="5" t="s">
        <v>43</v>
      </c>
      <c r="W30">
        <f t="shared" si="14"/>
        <v>-12862</v>
      </c>
      <c r="Y30" s="5">
        <f t="shared" si="15"/>
        <v>0</v>
      </c>
      <c r="Z30" s="5">
        <f t="shared" si="16"/>
        <v>0</v>
      </c>
      <c r="AA30" s="5">
        <f>IF(OR(R5+R12=2, AND(MOD(R5+R12, 2)&lt;&gt;R30, R5+R12=1)), 1, 0)</f>
        <v>0</v>
      </c>
      <c r="AB30" s="5">
        <f t="shared" si="17"/>
        <v>0</v>
      </c>
      <c r="AC30" s="5">
        <f t="shared" si="18"/>
        <v>1</v>
      </c>
      <c r="AD30" s="5">
        <f>IF(AND(F5=F12, F30&lt;&gt;F5), 1, 0)</f>
        <v>0</v>
      </c>
      <c r="AF30">
        <f>C5+C12</f>
        <v>-12862</v>
      </c>
      <c r="AH30" s="8" t="str">
        <f>IF(W30=AF30, IF(Y30=0, "Результат корректный", "Результат корректный. Перенос из старшего разряда не учитывается"), IF(AD30=1, IF(AND(C5&lt;0, C12&lt;0),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</v>
      </c>
      <c r="AI30" s="8"/>
      <c r="AJ30" s="8"/>
      <c r="AK30" s="8"/>
      <c r="AL30" s="8"/>
      <c r="AM30" s="8"/>
      <c r="AN30" s="8"/>
      <c r="AO30" s="8"/>
    </row>
    <row r="31" spans="4:41" x14ac:dyDescent="0.25">
      <c r="Y31" s="5"/>
      <c r="Z31" s="5"/>
      <c r="AA31" s="5"/>
      <c r="AB31" s="5"/>
      <c r="AC31" s="5"/>
      <c r="AD31" s="5"/>
      <c r="AH31" s="8"/>
      <c r="AI31" s="8"/>
      <c r="AJ31" s="8"/>
      <c r="AK31" s="8"/>
      <c r="AL31" s="8"/>
      <c r="AM31" s="8"/>
      <c r="AN31" s="8"/>
      <c r="AO31" s="8"/>
    </row>
    <row r="32" spans="4:41" x14ac:dyDescent="0.25">
      <c r="D32" t="s">
        <v>36</v>
      </c>
      <c r="E32">
        <f>IF(OR(F15+F7=2, AND(MOD(F15+F7, 2)&lt;&gt;F32, F15+F7=1)), 1, 0)</f>
        <v>1</v>
      </c>
      <c r="F32">
        <f>IF(OR(G15+G7=2, AND(MOD(G15+G7, 2)&lt;&gt;G32, G15+G7=1)), MOD(F15+F7+1, 2), MOD(F15+F7, 2))</f>
        <v>0</v>
      </c>
      <c r="G32">
        <f t="shared" ref="G32:T32" si="23">IF(OR(H15+H7=2, AND(MOD(H15+H7, 2)&lt;&gt;H32, H15+H7=1)), MOD(G15+G7+1, 2), MOD(G15+G7, 2))</f>
        <v>0</v>
      </c>
      <c r="H32">
        <f t="shared" si="23"/>
        <v>1</v>
      </c>
      <c r="I32">
        <f t="shared" si="23"/>
        <v>0</v>
      </c>
      <c r="J32">
        <f t="shared" si="23"/>
        <v>1</v>
      </c>
      <c r="K32">
        <f t="shared" si="23"/>
        <v>0</v>
      </c>
      <c r="L32">
        <f t="shared" si="23"/>
        <v>0</v>
      </c>
      <c r="M32">
        <f t="shared" si="23"/>
        <v>0</v>
      </c>
      <c r="N32">
        <f t="shared" si="23"/>
        <v>1</v>
      </c>
      <c r="O32">
        <f t="shared" si="23"/>
        <v>1</v>
      </c>
      <c r="P32">
        <f t="shared" si="23"/>
        <v>1</v>
      </c>
      <c r="Q32">
        <f t="shared" si="23"/>
        <v>0</v>
      </c>
      <c r="R32">
        <f t="shared" si="23"/>
        <v>0</v>
      </c>
      <c r="S32">
        <f t="shared" si="23"/>
        <v>0</v>
      </c>
      <c r="T32">
        <f t="shared" si="23"/>
        <v>0</v>
      </c>
      <c r="U32">
        <f>MOD(U15+U7, 2)</f>
        <v>0</v>
      </c>
      <c r="V32" s="5" t="s">
        <v>43</v>
      </c>
      <c r="W32">
        <f t="shared" si="14"/>
        <v>10464</v>
      </c>
      <c r="Y32" s="5">
        <f t="shared" si="15"/>
        <v>1</v>
      </c>
      <c r="Z32" s="5">
        <f t="shared" si="16"/>
        <v>0</v>
      </c>
      <c r="AA32" s="5">
        <f>IF(OR(R15+R7=2, AND(MOD(R15+R7, 2)&lt;&gt;R32, R15+R7=1)), 1, 0)</f>
        <v>1</v>
      </c>
      <c r="AB32" s="5">
        <f t="shared" si="17"/>
        <v>0</v>
      </c>
      <c r="AC32" s="5">
        <f t="shared" si="18"/>
        <v>0</v>
      </c>
      <c r="AD32" s="5">
        <f>IF(AND(F15=F7, F32&lt;&gt;F15), 1, 0)</f>
        <v>0</v>
      </c>
      <c r="AF32">
        <f>C15+C7</f>
        <v>10464</v>
      </c>
      <c r="AH32" s="8" t="str">
        <f>IF(W32=AF32, IF(Y32=0, "Результат корректный", "Результат корректный. Перенос из старшего разряда не учитывается"), IF(AD32=1, IF(AND(C15&lt;0, C7&lt;0), "При сложении отрицательных чисел получили положительный результат. ПЕРЕПОЛНЕНИЕ", "При сложении положительных чисел получили отрицательный результат. ПЕРЕПОЛНЕНИЕ"), "Тут даже фиксик не поможет") )</f>
        <v>Результат корректный. Перенос из старшего разряда не учитывается</v>
      </c>
      <c r="AI32" s="8"/>
      <c r="AJ32" s="8"/>
      <c r="AK32" s="8"/>
      <c r="AL32" s="8"/>
      <c r="AM32" s="8"/>
      <c r="AN32" s="8"/>
      <c r="AO32" s="8"/>
    </row>
    <row r="33" spans="34:41" x14ac:dyDescent="0.25">
      <c r="AH33" s="8"/>
      <c r="AI33" s="8"/>
      <c r="AJ33" s="8"/>
      <c r="AK33" s="8"/>
      <c r="AL33" s="8"/>
      <c r="AM33" s="8"/>
      <c r="AN33" s="8"/>
      <c r="AO33" s="8"/>
    </row>
  </sheetData>
  <mergeCells count="7">
    <mergeCell ref="AH30:AO31"/>
    <mergeCell ref="AH32:AO33"/>
    <mergeCell ref="AH20:AO21"/>
    <mergeCell ref="AH22:AO23"/>
    <mergeCell ref="AH24:AO25"/>
    <mergeCell ref="AH26:AO27"/>
    <mergeCell ref="AH28:AO29"/>
  </mergeCells>
  <phoneticPr fontId="1" type="noConversion"/>
  <conditionalFormatting sqref="F5:U8">
    <cfRule type="cellIs" dxfId="11" priority="2" operator="equal">
      <formula>0</formula>
    </cfRule>
    <cfRule type="cellIs" dxfId="10" priority="1" operator="equal">
      <formula>1</formula>
    </cfRule>
  </conditionalFormatting>
  <pageMargins left="0.7" right="0.7" top="0.75" bottom="0.75" header="0.3" footer="0.3"/>
  <pageSetup paperSize="9" orientation="portrait" verticalDpi="0" r:id="rId1"/>
  <headerFooter>
    <oddHeader>&amp;CКруглов Егор, Вар. 17
&amp;F</oddHeader>
    <oddFooter>&amp;C3 ‎ноября ‎2022 ‎г., ‏‎17:31:40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6B0D-BC1C-4F20-B034-E6D5C19EA946}">
  <sheetPr codeName="Лист2"/>
  <dimension ref="B4:D18"/>
  <sheetViews>
    <sheetView workbookViewId="0">
      <selection activeCell="C6" sqref="C6"/>
    </sheetView>
  </sheetViews>
  <sheetFormatPr defaultRowHeight="15" x14ac:dyDescent="0.25"/>
  <sheetData>
    <row r="4" spans="2:4" x14ac:dyDescent="0.25">
      <c r="B4" t="s">
        <v>0</v>
      </c>
      <c r="C4" s="1">
        <v>5232</v>
      </c>
    </row>
    <row r="5" spans="2:4" x14ac:dyDescent="0.25">
      <c r="B5" t="s">
        <v>1</v>
      </c>
      <c r="C5" s="2">
        <v>18094</v>
      </c>
    </row>
    <row r="7" spans="2:4" x14ac:dyDescent="0.25">
      <c r="B7" t="s">
        <v>53</v>
      </c>
      <c r="C7" s="3" t="s">
        <v>52</v>
      </c>
      <c r="D7">
        <f>C4</f>
        <v>5232</v>
      </c>
    </row>
    <row r="8" spans="2:4" x14ac:dyDescent="0.25">
      <c r="B8" t="s">
        <v>54</v>
      </c>
      <c r="C8" s="3" t="s">
        <v>65</v>
      </c>
      <c r="D8">
        <f>C5</f>
        <v>18094</v>
      </c>
    </row>
    <row r="9" spans="2:4" x14ac:dyDescent="0.25">
      <c r="B9" t="s">
        <v>55</v>
      </c>
      <c r="C9" s="3" t="s">
        <v>66</v>
      </c>
      <c r="D9">
        <f>C4+C5</f>
        <v>23326</v>
      </c>
    </row>
    <row r="10" spans="2:4" x14ac:dyDescent="0.25">
      <c r="B10" t="s">
        <v>56</v>
      </c>
      <c r="C10" s="3" t="s">
        <v>67</v>
      </c>
      <c r="D10">
        <f>C4+C5+C5</f>
        <v>41420</v>
      </c>
    </row>
    <row r="11" spans="2:4" x14ac:dyDescent="0.25">
      <c r="B11" t="s">
        <v>57</v>
      </c>
      <c r="C11" s="3" t="s">
        <v>68</v>
      </c>
      <c r="D11">
        <f>C5-C4</f>
        <v>12862</v>
      </c>
    </row>
    <row r="12" spans="2:4" x14ac:dyDescent="0.25">
      <c r="B12" t="s">
        <v>58</v>
      </c>
      <c r="C12" s="3" t="s">
        <v>69</v>
      </c>
      <c r="D12">
        <f>65536-D10</f>
        <v>24116</v>
      </c>
    </row>
    <row r="13" spans="2:4" x14ac:dyDescent="0.25">
      <c r="B13" t="s">
        <v>59</v>
      </c>
      <c r="C13" s="3" t="s">
        <v>71</v>
      </c>
      <c r="D13">
        <f t="shared" ref="D13:D18" si="0">-D7</f>
        <v>-5232</v>
      </c>
    </row>
    <row r="14" spans="2:4" x14ac:dyDescent="0.25">
      <c r="B14" t="s">
        <v>60</v>
      </c>
      <c r="C14" s="3" t="s">
        <v>70</v>
      </c>
      <c r="D14">
        <f t="shared" si="0"/>
        <v>-18094</v>
      </c>
    </row>
    <row r="15" spans="2:4" x14ac:dyDescent="0.25">
      <c r="B15" t="s">
        <v>61</v>
      </c>
      <c r="C15" s="3" t="s">
        <v>72</v>
      </c>
      <c r="D15">
        <f t="shared" si="0"/>
        <v>-23326</v>
      </c>
    </row>
    <row r="16" spans="2:4" x14ac:dyDescent="0.25">
      <c r="B16" t="s">
        <v>62</v>
      </c>
      <c r="C16" s="3" t="s">
        <v>73</v>
      </c>
      <c r="D16">
        <f t="shared" si="0"/>
        <v>-41420</v>
      </c>
    </row>
    <row r="17" spans="2:4" x14ac:dyDescent="0.25">
      <c r="B17" t="s">
        <v>63</v>
      </c>
      <c r="C17" s="3" t="s">
        <v>74</v>
      </c>
      <c r="D17">
        <f t="shared" si="0"/>
        <v>-12862</v>
      </c>
    </row>
    <row r="18" spans="2:4" x14ac:dyDescent="0.25">
      <c r="B18" t="s">
        <v>64</v>
      </c>
      <c r="C18" s="3" t="s">
        <v>75</v>
      </c>
      <c r="D18">
        <f t="shared" si="0"/>
        <v>-24116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41F73-8BD3-4370-BBA3-7B9415F5CE84}">
  <sheetPr codeName="Лист3"/>
  <dimension ref="A1:V16"/>
  <sheetViews>
    <sheetView tabSelected="1" topLeftCell="E1" zoomScale="85" workbookViewId="0">
      <selection activeCell="W12" sqref="W12"/>
    </sheetView>
  </sheetViews>
  <sheetFormatPr defaultRowHeight="15" x14ac:dyDescent="0.25"/>
  <sheetData>
    <row r="1" spans="1:22" x14ac:dyDescent="0.25">
      <c r="V1" s="5"/>
    </row>
    <row r="2" spans="1:22" x14ac:dyDescent="0.25">
      <c r="A2" t="s">
        <v>0</v>
      </c>
      <c r="B2" s="1">
        <v>5232</v>
      </c>
      <c r="V2" s="5"/>
    </row>
    <row r="3" spans="1:22" x14ac:dyDescent="0.25">
      <c r="A3" t="s">
        <v>1</v>
      </c>
      <c r="B3" s="2">
        <v>18094</v>
      </c>
      <c r="V3" s="5"/>
    </row>
    <row r="4" spans="1:22" x14ac:dyDescent="0.25">
      <c r="F4" s="4">
        <v>16</v>
      </c>
      <c r="G4" s="4">
        <f>F4-1</f>
        <v>15</v>
      </c>
      <c r="H4" s="4">
        <f t="shared" ref="H4:U4" si="0">G4-1</f>
        <v>14</v>
      </c>
      <c r="I4" s="4">
        <f t="shared" si="0"/>
        <v>13</v>
      </c>
      <c r="J4" s="4">
        <f t="shared" si="0"/>
        <v>12</v>
      </c>
      <c r="K4" s="4">
        <f t="shared" si="0"/>
        <v>11</v>
      </c>
      <c r="L4" s="4">
        <f t="shared" si="0"/>
        <v>10</v>
      </c>
      <c r="M4" s="4">
        <f>L4-1</f>
        <v>9</v>
      </c>
      <c r="N4" s="4">
        <f t="shared" si="0"/>
        <v>8</v>
      </c>
      <c r="O4" s="4">
        <f t="shared" si="0"/>
        <v>7</v>
      </c>
      <c r="P4" s="4">
        <f t="shared" si="0"/>
        <v>6</v>
      </c>
      <c r="Q4" s="4">
        <f t="shared" si="0"/>
        <v>5</v>
      </c>
      <c r="R4" s="4">
        <f>Q4-1</f>
        <v>4</v>
      </c>
      <c r="S4" s="4">
        <f t="shared" si="0"/>
        <v>3</v>
      </c>
      <c r="T4" s="4">
        <f t="shared" si="0"/>
        <v>2</v>
      </c>
      <c r="U4" s="4">
        <f t="shared" si="0"/>
        <v>1</v>
      </c>
      <c r="V4" s="5" t="s">
        <v>51</v>
      </c>
    </row>
    <row r="5" spans="1:22" x14ac:dyDescent="0.25">
      <c r="A5" t="s">
        <v>2</v>
      </c>
      <c r="B5" t="s">
        <v>0</v>
      </c>
      <c r="C5">
        <f>B2</f>
        <v>5232</v>
      </c>
      <c r="E5" t="s">
        <v>24</v>
      </c>
      <c r="F5">
        <f>MOD(QUOTIENT($C5, POWER(2,G$4)),2)</f>
        <v>0</v>
      </c>
      <c r="G5">
        <f t="shared" ref="G5:T5" si="1">MOD(QUOTIENT($C5, POWER(2,H$4)),2)</f>
        <v>0</v>
      </c>
      <c r="H5">
        <f t="shared" si="1"/>
        <v>0</v>
      </c>
      <c r="I5">
        <f t="shared" si="1"/>
        <v>1</v>
      </c>
      <c r="J5">
        <f t="shared" si="1"/>
        <v>0</v>
      </c>
      <c r="K5">
        <f t="shared" si="1"/>
        <v>1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1</v>
      </c>
      <c r="P5">
        <f t="shared" si="1"/>
        <v>1</v>
      </c>
      <c r="Q5">
        <f t="shared" si="1"/>
        <v>1</v>
      </c>
      <c r="R5">
        <f>MOD(QUOTIENT($C5, POWER(2,S$4)),2)</f>
        <v>0</v>
      </c>
      <c r="S5">
        <f t="shared" si="1"/>
        <v>0</v>
      </c>
      <c r="T5">
        <f t="shared" si="1"/>
        <v>0</v>
      </c>
      <c r="U5">
        <f>MOD($C5, POWER(2, U$4))</f>
        <v>0</v>
      </c>
      <c r="V5" s="5"/>
    </row>
    <row r="6" spans="1:22" x14ac:dyDescent="0.25">
      <c r="A6" t="s">
        <v>3</v>
      </c>
      <c r="B6" t="s">
        <v>1</v>
      </c>
      <c r="C6">
        <f>B3</f>
        <v>18094</v>
      </c>
      <c r="E6" t="s">
        <v>25</v>
      </c>
      <c r="F6">
        <f t="shared" ref="F6:T10" si="2">MOD(QUOTIENT($C6, POWER(2,G$4)),2)</f>
        <v>0</v>
      </c>
      <c r="G6">
        <f t="shared" si="2"/>
        <v>1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1</v>
      </c>
      <c r="L6">
        <f t="shared" si="2"/>
        <v>1</v>
      </c>
      <c r="M6">
        <f t="shared" si="2"/>
        <v>0</v>
      </c>
      <c r="N6">
        <f t="shared" si="2"/>
        <v>1</v>
      </c>
      <c r="O6">
        <f t="shared" si="2"/>
        <v>0</v>
      </c>
      <c r="P6">
        <f t="shared" si="2"/>
        <v>1</v>
      </c>
      <c r="Q6">
        <f t="shared" si="2"/>
        <v>0</v>
      </c>
      <c r="R6">
        <f t="shared" si="2"/>
        <v>1</v>
      </c>
      <c r="S6">
        <f t="shared" si="2"/>
        <v>1</v>
      </c>
      <c r="T6">
        <f t="shared" si="2"/>
        <v>1</v>
      </c>
      <c r="U6">
        <f t="shared" ref="U6:U10" si="3">MOD($C6, POWER(2, U$4))</f>
        <v>0</v>
      </c>
      <c r="V6" s="5"/>
    </row>
    <row r="7" spans="1:22" x14ac:dyDescent="0.25">
      <c r="A7" t="s">
        <v>4</v>
      </c>
      <c r="B7" t="s">
        <v>5</v>
      </c>
      <c r="C7">
        <f>B2+B3</f>
        <v>23326</v>
      </c>
      <c r="E7" t="s">
        <v>26</v>
      </c>
      <c r="F7">
        <f t="shared" si="2"/>
        <v>0</v>
      </c>
      <c r="G7">
        <f t="shared" si="2"/>
        <v>1</v>
      </c>
      <c r="H7">
        <f t="shared" si="2"/>
        <v>0</v>
      </c>
      <c r="I7">
        <f t="shared" si="2"/>
        <v>1</v>
      </c>
      <c r="J7">
        <f t="shared" si="2"/>
        <v>1</v>
      </c>
      <c r="K7">
        <f t="shared" si="2"/>
        <v>0</v>
      </c>
      <c r="L7">
        <f t="shared" si="2"/>
        <v>1</v>
      </c>
      <c r="M7">
        <f t="shared" si="2"/>
        <v>1</v>
      </c>
      <c r="N7">
        <f t="shared" si="2"/>
        <v>0</v>
      </c>
      <c r="O7">
        <f t="shared" si="2"/>
        <v>0</v>
      </c>
      <c r="P7">
        <f t="shared" si="2"/>
        <v>0</v>
      </c>
      <c r="Q7">
        <f t="shared" si="2"/>
        <v>1</v>
      </c>
      <c r="R7">
        <f t="shared" si="2"/>
        <v>1</v>
      </c>
      <c r="S7">
        <f t="shared" si="2"/>
        <v>1</v>
      </c>
      <c r="T7">
        <f t="shared" si="2"/>
        <v>1</v>
      </c>
      <c r="U7">
        <f t="shared" si="3"/>
        <v>0</v>
      </c>
      <c r="V7" s="5"/>
    </row>
    <row r="8" spans="1:22" x14ac:dyDescent="0.25">
      <c r="A8" t="s">
        <v>6</v>
      </c>
      <c r="B8" t="s">
        <v>7</v>
      </c>
      <c r="C8">
        <f>B2+B3+B3</f>
        <v>41420</v>
      </c>
      <c r="E8" t="s">
        <v>27</v>
      </c>
      <c r="F8">
        <f t="shared" si="2"/>
        <v>1</v>
      </c>
      <c r="G8">
        <f t="shared" si="2"/>
        <v>0</v>
      </c>
      <c r="H8">
        <f t="shared" si="2"/>
        <v>1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>
        <f t="shared" si="2"/>
        <v>1</v>
      </c>
      <c r="N8">
        <f t="shared" si="2"/>
        <v>1</v>
      </c>
      <c r="O8">
        <f t="shared" si="2"/>
        <v>1</v>
      </c>
      <c r="P8">
        <f t="shared" si="2"/>
        <v>0</v>
      </c>
      <c r="Q8">
        <f t="shared" si="2"/>
        <v>0</v>
      </c>
      <c r="R8">
        <f t="shared" si="2"/>
        <v>1</v>
      </c>
      <c r="S8">
        <f t="shared" si="2"/>
        <v>1</v>
      </c>
      <c r="T8">
        <f t="shared" si="2"/>
        <v>0</v>
      </c>
      <c r="U8">
        <f t="shared" si="3"/>
        <v>0</v>
      </c>
      <c r="V8" s="5"/>
    </row>
    <row r="9" spans="1:22" x14ac:dyDescent="0.25">
      <c r="A9" t="s">
        <v>8</v>
      </c>
      <c r="B9" t="s">
        <v>9</v>
      </c>
      <c r="C9">
        <f>B3-B2</f>
        <v>12862</v>
      </c>
      <c r="E9" t="s">
        <v>28</v>
      </c>
      <c r="F9">
        <f t="shared" si="2"/>
        <v>0</v>
      </c>
      <c r="G9">
        <f t="shared" si="2"/>
        <v>0</v>
      </c>
      <c r="H9">
        <f t="shared" si="2"/>
        <v>1</v>
      </c>
      <c r="I9">
        <f t="shared" si="2"/>
        <v>1</v>
      </c>
      <c r="J9">
        <f t="shared" si="2"/>
        <v>0</v>
      </c>
      <c r="K9">
        <f t="shared" si="2"/>
        <v>0</v>
      </c>
      <c r="L9">
        <f t="shared" si="2"/>
        <v>1</v>
      </c>
      <c r="M9">
        <f t="shared" si="2"/>
        <v>0</v>
      </c>
      <c r="N9">
        <f t="shared" si="2"/>
        <v>0</v>
      </c>
      <c r="O9">
        <f t="shared" si="2"/>
        <v>0</v>
      </c>
      <c r="P9">
        <f t="shared" si="2"/>
        <v>1</v>
      </c>
      <c r="Q9">
        <f t="shared" si="2"/>
        <v>1</v>
      </c>
      <c r="R9">
        <f t="shared" si="2"/>
        <v>1</v>
      </c>
      <c r="S9">
        <f t="shared" si="2"/>
        <v>1</v>
      </c>
      <c r="T9">
        <f t="shared" si="2"/>
        <v>1</v>
      </c>
      <c r="U9">
        <f>MOD($C9, POWER(2, U$4))</f>
        <v>0</v>
      </c>
      <c r="V9" s="5"/>
    </row>
    <row r="10" spans="1:22" x14ac:dyDescent="0.25">
      <c r="A10" t="s">
        <v>10</v>
      </c>
      <c r="B10" t="s">
        <v>11</v>
      </c>
      <c r="C10">
        <f>65536-C8</f>
        <v>24116</v>
      </c>
      <c r="E10" t="s">
        <v>29</v>
      </c>
      <c r="F10">
        <f t="shared" si="2"/>
        <v>0</v>
      </c>
      <c r="G10">
        <f t="shared" si="2"/>
        <v>1</v>
      </c>
      <c r="H10">
        <f t="shared" si="2"/>
        <v>0</v>
      </c>
      <c r="I10">
        <f t="shared" si="2"/>
        <v>1</v>
      </c>
      <c r="J10">
        <f t="shared" si="2"/>
        <v>1</v>
      </c>
      <c r="K10">
        <f t="shared" si="2"/>
        <v>1</v>
      </c>
      <c r="L10">
        <f t="shared" si="2"/>
        <v>1</v>
      </c>
      <c r="M10">
        <f t="shared" si="2"/>
        <v>0</v>
      </c>
      <c r="N10">
        <f t="shared" si="2"/>
        <v>0</v>
      </c>
      <c r="O10">
        <f t="shared" si="2"/>
        <v>0</v>
      </c>
      <c r="P10">
        <f t="shared" si="2"/>
        <v>1</v>
      </c>
      <c r="Q10">
        <f t="shared" si="2"/>
        <v>1</v>
      </c>
      <c r="R10">
        <f t="shared" si="2"/>
        <v>0</v>
      </c>
      <c r="S10">
        <f t="shared" si="2"/>
        <v>1</v>
      </c>
      <c r="T10">
        <f t="shared" si="2"/>
        <v>0</v>
      </c>
      <c r="U10">
        <f t="shared" si="3"/>
        <v>0</v>
      </c>
      <c r="V10" s="5"/>
    </row>
    <row r="11" spans="1:22" x14ac:dyDescent="0.25">
      <c r="A11" t="s">
        <v>12</v>
      </c>
      <c r="B11" s="3" t="s">
        <v>13</v>
      </c>
      <c r="C11">
        <f t="shared" ref="C11:C16" si="4">-C5</f>
        <v>-5232</v>
      </c>
      <c r="E11" t="s">
        <v>37</v>
      </c>
      <c r="F11">
        <f t="shared" ref="F11:U16" si="5">IF(F$4&lt;=$V11, F5, MOD(F5+1, 2))</f>
        <v>1</v>
      </c>
      <c r="G11">
        <f t="shared" si="5"/>
        <v>1</v>
      </c>
      <c r="H11">
        <f t="shared" si="5"/>
        <v>1</v>
      </c>
      <c r="I11">
        <f t="shared" si="5"/>
        <v>0</v>
      </c>
      <c r="J11">
        <f t="shared" si="5"/>
        <v>1</v>
      </c>
      <c r="K11">
        <f t="shared" si="5"/>
        <v>0</v>
      </c>
      <c r="L11">
        <f t="shared" si="5"/>
        <v>1</v>
      </c>
      <c r="M11">
        <f t="shared" si="5"/>
        <v>1</v>
      </c>
      <c r="N11">
        <f t="shared" si="5"/>
        <v>1</v>
      </c>
      <c r="O11">
        <f t="shared" si="5"/>
        <v>0</v>
      </c>
      <c r="P11">
        <f t="shared" si="5"/>
        <v>0</v>
      </c>
      <c r="Q11">
        <f t="shared" si="5"/>
        <v>1</v>
      </c>
      <c r="R11">
        <f t="shared" si="5"/>
        <v>0</v>
      </c>
      <c r="S11">
        <f t="shared" si="5"/>
        <v>0</v>
      </c>
      <c r="T11">
        <f t="shared" si="5"/>
        <v>0</v>
      </c>
      <c r="U11">
        <f>IF(U$4&lt;=$V11, U5, MOD(U5+1, 2))</f>
        <v>0</v>
      </c>
      <c r="V11" s="5" cm="1">
        <f t="array" ref="V11">IF(U5=1,U$4, IF(T5=1, T$4, IF(S5=1, S$4, IF( R5=1, R$4,  IF( Q5=1, Q$4,  IF( P5=1, P$4,  IF( O5=1, O$4,  IF( N5=1, N$4,  IF( M5=1, M$4,  IF( L5=1, L$4,  IF( K5=1, K$4,  IF( J5=1, J$4,  IF( I5=1, I$4,  IF( H5=1, H$4,  IF( G5=1, G$4,  IF( F5=1, F$4, OF))))))))))))))))</f>
        <v>5</v>
      </c>
    </row>
    <row r="12" spans="1:22" x14ac:dyDescent="0.25">
      <c r="A12" t="s">
        <v>14</v>
      </c>
      <c r="B12" s="3" t="s">
        <v>15</v>
      </c>
      <c r="C12">
        <f t="shared" si="4"/>
        <v>-18094</v>
      </c>
      <c r="E12" t="s">
        <v>38</v>
      </c>
      <c r="F12">
        <f t="shared" si="5"/>
        <v>1</v>
      </c>
      <c r="G12">
        <f t="shared" si="5"/>
        <v>0</v>
      </c>
      <c r="H12">
        <f t="shared" si="5"/>
        <v>1</v>
      </c>
      <c r="I12">
        <f t="shared" si="5"/>
        <v>1</v>
      </c>
      <c r="J12">
        <f t="shared" si="5"/>
        <v>1</v>
      </c>
      <c r="K12">
        <f t="shared" si="5"/>
        <v>0</v>
      </c>
      <c r="L12">
        <f t="shared" si="5"/>
        <v>0</v>
      </c>
      <c r="M12">
        <f t="shared" si="5"/>
        <v>1</v>
      </c>
      <c r="N12">
        <f t="shared" si="5"/>
        <v>0</v>
      </c>
      <c r="O12">
        <f t="shared" si="5"/>
        <v>1</v>
      </c>
      <c r="P12">
        <f t="shared" si="5"/>
        <v>0</v>
      </c>
      <c r="Q12">
        <f t="shared" si="5"/>
        <v>1</v>
      </c>
      <c r="R12">
        <f t="shared" si="5"/>
        <v>0</v>
      </c>
      <c r="S12">
        <f t="shared" si="5"/>
        <v>0</v>
      </c>
      <c r="T12">
        <f t="shared" si="5"/>
        <v>1</v>
      </c>
      <c r="U12">
        <f t="shared" si="5"/>
        <v>0</v>
      </c>
      <c r="V12" s="5" cm="1">
        <f t="array" ref="V12">IF(U6=1,U$4, IF(T6=1, T$4, IF(S6=1, S$4, IF( R6=1, R$4,  IF( Q6=1, Q$4,  IF( P6=1, P$4,  IF( O6=1, O$4,  IF( N6=1, N$4,  IF( M6=1, M$4,  IF( L6=1, L$4,  IF( K6=1, K$4,  IF( J6=1, J$4,  IF( I6=1, I$4,  IF( H6=1, H$4,  IF( G6=1, G$4,  IF( F6=1, F$4, OF))))))))))))))))</f>
        <v>2</v>
      </c>
    </row>
    <row r="13" spans="1:22" x14ac:dyDescent="0.25">
      <c r="A13" t="s">
        <v>16</v>
      </c>
      <c r="B13" s="3" t="s">
        <v>17</v>
      </c>
      <c r="C13">
        <f t="shared" si="4"/>
        <v>-23326</v>
      </c>
      <c r="E13" t="s">
        <v>39</v>
      </c>
      <c r="F13">
        <f t="shared" si="5"/>
        <v>1</v>
      </c>
      <c r="G13">
        <f t="shared" si="5"/>
        <v>0</v>
      </c>
      <c r="H13">
        <f t="shared" si="5"/>
        <v>1</v>
      </c>
      <c r="I13">
        <f t="shared" si="5"/>
        <v>0</v>
      </c>
      <c r="J13">
        <f t="shared" si="5"/>
        <v>0</v>
      </c>
      <c r="K13">
        <f t="shared" si="5"/>
        <v>1</v>
      </c>
      <c r="L13">
        <f t="shared" si="5"/>
        <v>0</v>
      </c>
      <c r="M13">
        <f t="shared" si="5"/>
        <v>0</v>
      </c>
      <c r="N13">
        <f t="shared" si="5"/>
        <v>1</v>
      </c>
      <c r="O13">
        <f t="shared" si="5"/>
        <v>1</v>
      </c>
      <c r="P13">
        <f t="shared" si="5"/>
        <v>1</v>
      </c>
      <c r="Q13">
        <f t="shared" si="5"/>
        <v>0</v>
      </c>
      <c r="R13">
        <f t="shared" si="5"/>
        <v>0</v>
      </c>
      <c r="S13">
        <f t="shared" si="5"/>
        <v>0</v>
      </c>
      <c r="T13">
        <f t="shared" si="5"/>
        <v>1</v>
      </c>
      <c r="U13">
        <f t="shared" si="5"/>
        <v>0</v>
      </c>
      <c r="V13" s="5" cm="1">
        <f t="array" ref="V13">IF(U7=1,U$4, IF(T7=1, T$4, IF(S7=1, S$4, IF( R7=1, R$4,  IF( Q7=1, Q$4,  IF( P7=1, P$4,  IF( O7=1, O$4,  IF( N7=1, N$4,  IF( M7=1, M$4,  IF( L7=1, L$4,  IF( K7=1, K$4,  IF( J7=1, J$4,  IF( I7=1, I$4,  IF( H7=1, H$4,  IF( G7=1, G$4,  IF( F7=1, F$4, OF))))))))))))))))</f>
        <v>2</v>
      </c>
    </row>
    <row r="14" spans="1:22" x14ac:dyDescent="0.25">
      <c r="A14" t="s">
        <v>18</v>
      </c>
      <c r="B14" s="3" t="s">
        <v>19</v>
      </c>
      <c r="C14">
        <f t="shared" si="4"/>
        <v>-41420</v>
      </c>
      <c r="E14" t="s">
        <v>40</v>
      </c>
      <c r="F14">
        <f t="shared" si="5"/>
        <v>0</v>
      </c>
      <c r="G14">
        <f t="shared" si="5"/>
        <v>1</v>
      </c>
      <c r="H14">
        <f t="shared" si="5"/>
        <v>0</v>
      </c>
      <c r="I14">
        <f t="shared" si="5"/>
        <v>1</v>
      </c>
      <c r="J14">
        <f t="shared" si="5"/>
        <v>1</v>
      </c>
      <c r="K14">
        <f t="shared" si="5"/>
        <v>1</v>
      </c>
      <c r="L14">
        <f t="shared" si="5"/>
        <v>1</v>
      </c>
      <c r="M14">
        <f t="shared" si="5"/>
        <v>0</v>
      </c>
      <c r="N14">
        <f t="shared" si="5"/>
        <v>0</v>
      </c>
      <c r="O14">
        <f t="shared" si="5"/>
        <v>0</v>
      </c>
      <c r="P14">
        <f t="shared" si="5"/>
        <v>1</v>
      </c>
      <c r="Q14">
        <f t="shared" si="5"/>
        <v>1</v>
      </c>
      <c r="R14">
        <f t="shared" si="5"/>
        <v>0</v>
      </c>
      <c r="S14">
        <f t="shared" si="5"/>
        <v>1</v>
      </c>
      <c r="T14">
        <f t="shared" si="5"/>
        <v>0</v>
      </c>
      <c r="U14">
        <f t="shared" si="5"/>
        <v>0</v>
      </c>
      <c r="V14" s="5" cm="1">
        <f t="array" ref="V14">IF(U8=1,U$4, IF(T8=1, T$4, IF(S8=1, S$4, IF( R8=1, R$4,  IF( Q8=1, Q$4,  IF( P8=1, P$4,  IF( O8=1, O$4,  IF( N8=1, N$4,  IF( M8=1, M$4,  IF( L8=1, L$4,  IF( K8=1, K$4,  IF( J8=1, J$4,  IF( I8=1, I$4,  IF( H8=1, H$4,  IF( G8=1, G$4,  IF( F8=1, F$4, OF))))))))))))))))</f>
        <v>3</v>
      </c>
    </row>
    <row r="15" spans="1:22" x14ac:dyDescent="0.25">
      <c r="A15" t="s">
        <v>20</v>
      </c>
      <c r="B15" s="3" t="s">
        <v>22</v>
      </c>
      <c r="C15">
        <f t="shared" si="4"/>
        <v>-12862</v>
      </c>
      <c r="E15" t="s">
        <v>41</v>
      </c>
      <c r="F15">
        <f t="shared" si="5"/>
        <v>1</v>
      </c>
      <c r="G15">
        <f t="shared" si="5"/>
        <v>1</v>
      </c>
      <c r="H15">
        <f t="shared" si="5"/>
        <v>0</v>
      </c>
      <c r="I15">
        <f t="shared" si="5"/>
        <v>0</v>
      </c>
      <c r="J15">
        <f t="shared" si="5"/>
        <v>1</v>
      </c>
      <c r="K15">
        <f t="shared" si="5"/>
        <v>1</v>
      </c>
      <c r="L15">
        <f t="shared" si="5"/>
        <v>0</v>
      </c>
      <c r="M15">
        <f t="shared" si="5"/>
        <v>1</v>
      </c>
      <c r="N15">
        <f t="shared" si="5"/>
        <v>1</v>
      </c>
      <c r="O15">
        <f t="shared" si="5"/>
        <v>1</v>
      </c>
      <c r="P15">
        <f t="shared" si="5"/>
        <v>0</v>
      </c>
      <c r="Q15">
        <f t="shared" si="5"/>
        <v>0</v>
      </c>
      <c r="R15">
        <f t="shared" si="5"/>
        <v>0</v>
      </c>
      <c r="S15">
        <f t="shared" si="5"/>
        <v>0</v>
      </c>
      <c r="T15">
        <f t="shared" si="5"/>
        <v>1</v>
      </c>
      <c r="U15">
        <f t="shared" si="5"/>
        <v>0</v>
      </c>
      <c r="V15" s="5" cm="1">
        <f t="array" ref="V15">IF(U9=1,U$4, IF(T9=1, T$4, IF(S9=1, S$4, IF( R9=1, R$4,  IF( Q9=1, Q$4,  IF( P9=1, P$4,  IF( O9=1, O$4,  IF( N9=1, N$4,  IF( M9=1, M$4,  IF( L9=1, L$4,  IF( K9=1, K$4,  IF( J9=1, J$4,  IF( I9=1, I$4,  IF( H9=1, H$4,  IF( G9=1, G$4,  IF( F9=1, F$4, OF))))))))))))))))</f>
        <v>2</v>
      </c>
    </row>
    <row r="16" spans="1:22" x14ac:dyDescent="0.25">
      <c r="A16" t="s">
        <v>21</v>
      </c>
      <c r="B16" s="3" t="s">
        <v>23</v>
      </c>
      <c r="C16">
        <f t="shared" si="4"/>
        <v>-24116</v>
      </c>
      <c r="E16" t="s">
        <v>42</v>
      </c>
      <c r="F16">
        <f t="shared" si="5"/>
        <v>1</v>
      </c>
      <c r="G16">
        <f t="shared" si="5"/>
        <v>0</v>
      </c>
      <c r="H16">
        <f t="shared" si="5"/>
        <v>1</v>
      </c>
      <c r="I16">
        <f t="shared" si="5"/>
        <v>0</v>
      </c>
      <c r="J16">
        <f t="shared" si="5"/>
        <v>0</v>
      </c>
      <c r="K16">
        <f t="shared" si="5"/>
        <v>0</v>
      </c>
      <c r="L16">
        <f t="shared" si="5"/>
        <v>0</v>
      </c>
      <c r="M16">
        <f t="shared" si="5"/>
        <v>1</v>
      </c>
      <c r="N16">
        <f t="shared" si="5"/>
        <v>1</v>
      </c>
      <c r="O16">
        <f t="shared" si="5"/>
        <v>1</v>
      </c>
      <c r="P16">
        <f t="shared" si="5"/>
        <v>0</v>
      </c>
      <c r="Q16">
        <f t="shared" si="5"/>
        <v>0</v>
      </c>
      <c r="R16">
        <f t="shared" si="5"/>
        <v>1</v>
      </c>
      <c r="S16">
        <f t="shared" si="5"/>
        <v>1</v>
      </c>
      <c r="T16">
        <f t="shared" si="5"/>
        <v>0</v>
      </c>
      <c r="U16">
        <f t="shared" si="5"/>
        <v>0</v>
      </c>
      <c r="V16" s="5" cm="1">
        <f t="array" ref="V16">IF(U10=1,U$4, IF(T10=1, T$4, IF(S10=1, S$4, IF( R10=1, R$4,  IF( Q10=1, Q$4,  IF( P10=1, P$4,  IF( O10=1, O$4,  IF( N10=1, N$4,  IF( M10=1, M$4,  IF( L10=1, L$4,  IF( K10=1, K$4,  IF( J10=1, J$4,  IF( I10=1, I$4,  IF( H10=1, H$4,  IF( G10=1, G$4,  IF( F10=1, F$4, OF))))))))))))))))</f>
        <v>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Egor Kruglov</dc:creator>
  <cp:lastModifiedBy>Egor Kruglov</cp:lastModifiedBy>
  <dcterms:created xsi:type="dcterms:W3CDTF">2022-11-03T14:26:22Z</dcterms:created>
  <dcterms:modified xsi:type="dcterms:W3CDTF">2022-11-15T08:13:34Z</dcterms:modified>
</cp:coreProperties>
</file>